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ff1415b9922d76/Documents/"/>
    </mc:Choice>
  </mc:AlternateContent>
  <xr:revisionPtr revIDLastSave="56" documentId="8_{E342B645-6BC8-4375-8F5A-DF6124D3348E}" xr6:coauthVersionLast="47" xr6:coauthVersionMax="47" xr10:uidLastSave="{936C83D4-9C9F-4A92-BA63-3E3A4044ACC7}"/>
  <bookViews>
    <workbookView xWindow="-108" yWindow="-108" windowWidth="23256" windowHeight="12456" xr2:uid="{11D06C33-2C6D-41D5-B916-758FD20A99E4}"/>
  </bookViews>
  <sheets>
    <sheet name="payroll calcula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</calcChain>
</file>

<file path=xl/sharedStrings.xml><?xml version="1.0" encoding="utf-8"?>
<sst xmlns="http://schemas.openxmlformats.org/spreadsheetml/2006/main" count="9664" uniqueCount="2036">
  <si>
    <t>HRA</t>
  </si>
  <si>
    <t>MA</t>
  </si>
  <si>
    <t>TA</t>
  </si>
  <si>
    <t>PF</t>
  </si>
  <si>
    <t>IT</t>
  </si>
  <si>
    <t>Employee 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</si>
  <si>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</si>
  <si>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</si>
  <si>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</si>
  <si>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</si>
  <si>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</si>
  <si>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</si>
  <si>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</si>
  <si>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</si>
  <si>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</si>
  <si>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</si>
  <si>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</si>
  <si>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</si>
  <si>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</si>
  <si>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</si>
  <si>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</si>
  <si>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</si>
  <si>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</si>
  <si>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</si>
  <si>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</si>
  <si>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</si>
  <si>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</si>
  <si>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</si>
  <si>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</si>
  <si>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</si>
  <si>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</si>
  <si>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</si>
  <si>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Chicago</t>
  </si>
  <si>
    <t>E02004</t>
  </si>
  <si>
    <t>Cameron Lo</t>
  </si>
  <si>
    <t>Network Administrator</t>
  </si>
  <si>
    <t>Research &amp; Development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</si>
  <si>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</si>
  <si>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</si>
  <si>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</si>
  <si>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</si>
  <si>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</si>
  <si>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</si>
  <si>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</si>
  <si>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</si>
  <si>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</si>
  <si>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</si>
  <si>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</si>
  <si>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Austin</t>
  </si>
  <si>
    <t>E02007</t>
  </si>
  <si>
    <t>Ezra Vu</t>
  </si>
  <si>
    <t>Phoenix</t>
  </si>
  <si>
    <t>E02008</t>
  </si>
  <si>
    <t>Jade Hu</t>
  </si>
  <si>
    <t>Sr. Analyst</t>
  </si>
  <si>
    <t>Accounting</t>
  </si>
  <si>
    <t>Specialty Products</t>
  </si>
  <si>
    <t>Chongqing</t>
  </si>
  <si>
    <t>E02009</t>
  </si>
  <si>
    <t>Miles Chang</t>
  </si>
  <si>
    <t>Analyst II</t>
  </si>
  <si>
    <t>Finance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</si>
  <si>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</si>
  <si>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</si>
  <si>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</si>
  <si>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</si>
  <si>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</si>
  <si>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</si>
  <si>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</si>
  <si>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</si>
  <si>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</si>
  <si>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</si>
  <si>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</si>
  <si>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</si>
  <si>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</si>
  <si>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</si>
  <si>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</si>
  <si>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</si>
  <si>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E02015</t>
  </si>
  <si>
    <t>Lucas Richardson</t>
  </si>
  <si>
    <t>Marketing</t>
  </si>
  <si>
    <t>E02016</t>
  </si>
  <si>
    <t>Jacob Moore</t>
  </si>
  <si>
    <t>Sr. Manager</t>
  </si>
  <si>
    <t>Black</t>
  </si>
  <si>
    <t>E02017</t>
  </si>
  <si>
    <t>Luna Lu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</si>
  <si>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</si>
  <si>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</si>
  <si>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</si>
  <si>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</si>
  <si>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</si>
  <si>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</si>
  <si>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</si>
  <si>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</si>
  <si>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</si>
  <si>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</si>
  <si>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</si>
  <si>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</si>
  <si>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E02023</t>
  </si>
  <si>
    <t>Lillian Lewis</t>
  </si>
  <si>
    <t>Technical Architect</t>
  </si>
  <si>
    <t>E02024</t>
  </si>
  <si>
    <t>Serenity Cao</t>
  </si>
  <si>
    <t>Account Representative</t>
  </si>
  <si>
    <t>E02025</t>
  </si>
  <si>
    <t>Parker Lai</t>
  </si>
  <si>
    <t>E02026</t>
  </si>
  <si>
    <t>Charles Simmons</t>
  </si>
  <si>
    <t>E02027</t>
  </si>
  <si>
    <t>Jayden Luu</t>
  </si>
  <si>
    <t>Beijing</t>
  </si>
  <si>
    <t>E02028</t>
  </si>
  <si>
    <t>Brooks Richardson</t>
  </si>
  <si>
    <t>E02029</t>
  </si>
  <si>
    <t>Ivy Thompson</t>
  </si>
  <si>
    <t>E02030</t>
  </si>
  <si>
    <t>Peyton Wright</t>
  </si>
  <si>
    <t>E02031</t>
  </si>
  <si>
    <t>Wyatt Dinh</t>
  </si>
  <si>
    <t>E02032</t>
  </si>
  <si>
    <t>Ruby Alexander</t>
  </si>
  <si>
    <t>E02033</t>
  </si>
  <si>
    <t>Axel Oh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</si>
  <si>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</si>
  <si>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</si>
  <si>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</si>
  <si>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</si>
  <si>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</si>
  <si>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</si>
  <si>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</si>
  <si>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</si>
  <si>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</si>
  <si>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</si>
  <si>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</si>
  <si>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E02038</t>
  </si>
  <si>
    <t>Amelia Dominguez</t>
  </si>
  <si>
    <t>Brazil</t>
  </si>
  <si>
    <t>Rio de Janeiro</t>
  </si>
  <si>
    <t>E02039</t>
  </si>
  <si>
    <t>Silas Ross</t>
  </si>
  <si>
    <t>E02040</t>
  </si>
  <si>
    <t>Jeremiah Cheng</t>
  </si>
  <si>
    <t>E02041</t>
  </si>
  <si>
    <t>Chloe Chin</t>
  </si>
  <si>
    <t>E02042</t>
  </si>
  <si>
    <t>Ella Martinez</t>
  </si>
  <si>
    <t>E02043</t>
  </si>
  <si>
    <t>Gianna Jones</t>
  </si>
  <si>
    <t>E02044</t>
  </si>
  <si>
    <t>Austin Chow</t>
  </si>
  <si>
    <t>E02045</t>
  </si>
  <si>
    <t>Ella Chen</t>
  </si>
  <si>
    <t>E02046</t>
  </si>
  <si>
    <t>Ruby Kaur</t>
  </si>
  <si>
    <t>E02047</t>
  </si>
  <si>
    <t>Savannah Morales</t>
  </si>
  <si>
    <t>E02048</t>
  </si>
  <si>
    <t>Luca Powell</t>
  </si>
  <si>
    <t>IT Coordinator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</si>
  <si>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</si>
  <si>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</si>
  <si>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</si>
  <si>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</si>
  <si>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</si>
  <si>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</si>
  <si>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</si>
  <si>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</si>
  <si>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</si>
  <si>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</si>
  <si>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</si>
  <si>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E02054</t>
  </si>
  <si>
    <t>Santiago f Ross</t>
  </si>
  <si>
    <t>Enterprise Architect</t>
  </si>
  <si>
    <t>E02055</t>
  </si>
  <si>
    <t>Layla Bell</t>
  </si>
  <si>
    <t>E02056</t>
  </si>
  <si>
    <t>Bella Morales</t>
  </si>
  <si>
    <t>E02057</t>
  </si>
  <si>
    <t>Eliza Kang</t>
  </si>
  <si>
    <t>Computer Systems Manager</t>
  </si>
  <si>
    <t>E02058</t>
  </si>
  <si>
    <t>Gabriel Reyes</t>
  </si>
  <si>
    <t>Sao Paulo</t>
  </si>
  <si>
    <t>E02059</t>
  </si>
  <si>
    <t>Piper Garcia</t>
  </si>
  <si>
    <t>E02060</t>
  </si>
  <si>
    <t>Jacob Cheng</t>
  </si>
  <si>
    <t>E02061</t>
  </si>
  <si>
    <t>Nathan Hong</t>
  </si>
  <si>
    <t>E02062</t>
  </si>
  <si>
    <t>Chloe Kim</t>
  </si>
  <si>
    <t>E02063</t>
  </si>
  <si>
    <t>Isaac Guzman</t>
  </si>
  <si>
    <t>E02064</t>
  </si>
  <si>
    <t>Julian Ford</t>
  </si>
  <si>
    <t>E02065</t>
  </si>
  <si>
    <t>Kinsley Liang</t>
  </si>
  <si>
    <t>Automation Engineer</t>
  </si>
  <si>
    <t>E02066</t>
  </si>
  <si>
    <t>Wesley Yu</t>
  </si>
  <si>
    <t>E02067</t>
  </si>
  <si>
    <t>Serenity Martin</t>
  </si>
  <si>
    <t>E02068</t>
  </si>
  <si>
    <t>Ethan Sanchez</t>
  </si>
  <si>
    <t>E02069</t>
  </si>
  <si>
    <t>David Sanchez</t>
  </si>
  <si>
    <t>E02070</t>
  </si>
  <si>
    <t>Elias Hsu</t>
  </si>
  <si>
    <t>E02071</t>
  </si>
  <si>
    <t>Luca Phan</t>
  </si>
  <si>
    <t>E02072</t>
  </si>
  <si>
    <t>Olivia Xi</t>
  </si>
  <si>
    <t>E02073</t>
  </si>
  <si>
    <t>Alice Luu</t>
  </si>
  <si>
    <t>E02074</t>
  </si>
  <si>
    <t>Leonardo Ng</t>
  </si>
  <si>
    <t>E02075</t>
  </si>
  <si>
    <t>Peyton Edwards</t>
  </si>
  <si>
    <t>E02076</t>
  </si>
  <si>
    <t>Axel Patel</t>
  </si>
  <si>
    <t>E02077</t>
  </si>
  <si>
    <t>Eva Chavez</t>
  </si>
  <si>
    <t>E02078</t>
  </si>
  <si>
    <t>Savannah Lee</t>
  </si>
  <si>
    <t>E02079</t>
  </si>
  <si>
    <t>Mia Grant</t>
  </si>
  <si>
    <t>Solutions Architect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</si>
  <si>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</si>
  <si>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</si>
  <si>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</si>
  <si>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</si>
  <si>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</si>
  <si>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</si>
  <si>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</si>
  <si>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E02083</t>
  </si>
  <si>
    <t>Penelope Chan</t>
  </si>
  <si>
    <t>E02084</t>
  </si>
  <si>
    <t>Sofia Vasquez</t>
  </si>
  <si>
    <t>E02085</t>
  </si>
  <si>
    <t>Anthony Baker</t>
  </si>
  <si>
    <t>E02086</t>
  </si>
  <si>
    <t>Lucas Luong</t>
  </si>
  <si>
    <t>E02087</t>
  </si>
  <si>
    <t>Xavier Patel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</si>
  <si>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</si>
  <si>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</si>
  <si>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</si>
  <si>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</si>
  <si>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</si>
  <si>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</si>
  <si>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</si>
  <si>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E02091</t>
  </si>
  <si>
    <t>Lucy Edwards</t>
  </si>
  <si>
    <t>E02092</t>
  </si>
  <si>
    <t>Luna Edwards</t>
  </si>
  <si>
    <t>E02093</t>
  </si>
  <si>
    <t>Stella Daniels</t>
  </si>
  <si>
    <t>E02094</t>
  </si>
  <si>
    <t>Ayla Ma</t>
  </si>
  <si>
    <t>E02095</t>
  </si>
  <si>
    <t>Matthew Avila</t>
  </si>
  <si>
    <t>E02096</t>
  </si>
  <si>
    <t>Gianna Lim</t>
  </si>
  <si>
    <t>E02097</t>
  </si>
  <si>
    <t>Joseph Tan</t>
  </si>
  <si>
    <t>E02098</t>
  </si>
  <si>
    <t>Connor Lai</t>
  </si>
  <si>
    <t>Engineering Manager</t>
  </si>
  <si>
    <t>E02099</t>
  </si>
  <si>
    <t>Ava Owens</t>
  </si>
  <si>
    <t>E02100</t>
  </si>
  <si>
    <t>Dylan Aguilar</t>
  </si>
  <si>
    <t>E02101</t>
  </si>
  <si>
    <t>Leah Zheng</t>
  </si>
  <si>
    <t>E02102</t>
  </si>
  <si>
    <t>Jade Pham</t>
  </si>
  <si>
    <t>E02103</t>
  </si>
  <si>
    <t>Theodore Bui</t>
  </si>
  <si>
    <t>E02104</t>
  </si>
  <si>
    <t>Asher Chan</t>
  </si>
  <si>
    <t>E02105</t>
  </si>
  <si>
    <t>Ezekiel Brown</t>
  </si>
  <si>
    <t>E02106</t>
  </si>
  <si>
    <t>Peyton Allen</t>
  </si>
  <si>
    <t>E02107</t>
  </si>
  <si>
    <t>Parker Joseph</t>
  </si>
  <si>
    <t>E02108</t>
  </si>
  <si>
    <t>Kayden Ortiz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</si>
  <si>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</si>
  <si>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</si>
  <si>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</si>
  <si>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</si>
  <si>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</si>
  <si>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</si>
  <si>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</si>
  <si>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</si>
  <si>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</si>
  <si>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</si>
  <si>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</si>
  <si>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</si>
  <si>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</si>
  <si>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</si>
  <si>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</si>
  <si>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</si>
  <si>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E02116</t>
  </si>
  <si>
    <t>Clara Le</t>
  </si>
  <si>
    <t>E02117</t>
  </si>
  <si>
    <t>Chloe Yoon</t>
  </si>
  <si>
    <t>E02118</t>
  </si>
  <si>
    <t>Abigail Simmons</t>
  </si>
  <si>
    <t>E02119</t>
  </si>
  <si>
    <t>Ayla Espinoza</t>
  </si>
  <si>
    <t>E02120</t>
  </si>
  <si>
    <t>Nova Lin</t>
  </si>
  <si>
    <t>E02121</t>
  </si>
  <si>
    <t>Sadie Singh</t>
  </si>
  <si>
    <t>E02122</t>
  </si>
  <si>
    <t>Aaron Powell</t>
  </si>
  <si>
    <t>E02123</t>
  </si>
  <si>
    <t>Jameson Vargas</t>
  </si>
  <si>
    <t>E02124</t>
  </si>
  <si>
    <t>Logan Young</t>
  </si>
  <si>
    <t>E02125</t>
  </si>
  <si>
    <t>Wyatt Cheung</t>
  </si>
  <si>
    <t>E02126</t>
  </si>
  <si>
    <t>Lucas Zhu</t>
  </si>
  <si>
    <t>E02127</t>
  </si>
  <si>
    <t>Emily Hong</t>
  </si>
  <si>
    <t>E02128</t>
  </si>
  <si>
    <t>Luke Ramos</t>
  </si>
  <si>
    <t>E02129</t>
  </si>
  <si>
    <t>Maya Gupta</t>
  </si>
  <si>
    <t>E02130</t>
  </si>
  <si>
    <t>Eliana Ha</t>
  </si>
  <si>
    <t>E02131</t>
  </si>
  <si>
    <t>Lillian Cheng</t>
  </si>
  <si>
    <t>E02132</t>
  </si>
  <si>
    <t>Alexander Pena</t>
  </si>
  <si>
    <t>E02133</t>
  </si>
  <si>
    <t>Leonardo Mai</t>
  </si>
  <si>
    <t>E02134</t>
  </si>
  <si>
    <t>Jack Phillips</t>
  </si>
  <si>
    <t>E02135</t>
  </si>
  <si>
    <t>Scarlett Delgado</t>
  </si>
  <si>
    <t>E02136</t>
  </si>
  <si>
    <t>Jack Rogers</t>
  </si>
  <si>
    <t>E02137</t>
  </si>
  <si>
    <t>Violet Huynh</t>
  </si>
  <si>
    <t>E02138</t>
  </si>
  <si>
    <t>Victoria Park</t>
  </si>
  <si>
    <t>E02139</t>
  </si>
  <si>
    <t>Elizabeth Rodriguez</t>
  </si>
  <si>
    <t>E02140</t>
  </si>
  <si>
    <t>Samuel Kumar</t>
  </si>
  <si>
    <t>Network Engineer</t>
  </si>
  <si>
    <t>E02141</t>
  </si>
  <si>
    <t>Zoe Maldonado</t>
  </si>
  <si>
    <t>E02142</t>
  </si>
  <si>
    <t>Natalia Richardson</t>
  </si>
  <si>
    <t>E02143</t>
  </si>
  <si>
    <t>Madeline Contreras</t>
  </si>
  <si>
    <t>E02144</t>
  </si>
  <si>
    <t>Raelynn Espinoza</t>
  </si>
  <si>
    <t>E02145</t>
  </si>
  <si>
    <t>Noah Rojas</t>
  </si>
  <si>
    <t>E02146</t>
  </si>
  <si>
    <t>Jack Ramos</t>
  </si>
  <si>
    <t>E02147</t>
  </si>
  <si>
    <t>Riley King</t>
  </si>
  <si>
    <t>E02148</t>
  </si>
  <si>
    <t>Naomi Lee</t>
  </si>
  <si>
    <t>E02149</t>
  </si>
  <si>
    <t>Caleb Jones</t>
  </si>
  <si>
    <t>E02150</t>
  </si>
  <si>
    <t>Peyton Alvarado</t>
  </si>
  <si>
    <t>E02151</t>
  </si>
  <si>
    <t>Luca Liu</t>
  </si>
  <si>
    <t>E02152</t>
  </si>
  <si>
    <t>Christian Johnson</t>
  </si>
  <si>
    <t>Network Architect</t>
  </si>
  <si>
    <t>E02153</t>
  </si>
  <si>
    <t>Kinsley Gonzales</t>
  </si>
  <si>
    <t>E02154</t>
  </si>
  <si>
    <t>Hunter Yoon</t>
  </si>
  <si>
    <t>E02155</t>
  </si>
  <si>
    <t>Elias Dixon</t>
  </si>
  <si>
    <t>E02156</t>
  </si>
  <si>
    <t>Owen Guerrero</t>
  </si>
  <si>
    <t>E02157</t>
  </si>
  <si>
    <t>Lucas Lo</t>
  </si>
  <si>
    <t>E02158</t>
  </si>
  <si>
    <t>Hunter Mitchell</t>
  </si>
  <si>
    <t>E02159</t>
  </si>
  <si>
    <t>Eliana Bailey</t>
  </si>
  <si>
    <t>E02160</t>
  </si>
  <si>
    <t>Gabriella Choi</t>
  </si>
  <si>
    <t>E02161</t>
  </si>
  <si>
    <t>Evelyn Alvarado</t>
  </si>
  <si>
    <t>E02162</t>
  </si>
  <si>
    <t>Wyatt Chan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</si>
  <si>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</si>
  <si>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</si>
  <si>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</si>
  <si>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</si>
  <si>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</si>
  <si>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</si>
  <si>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</si>
  <si>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</si>
  <si>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E02166</t>
  </si>
  <si>
    <t>Addison Lo</t>
  </si>
  <si>
    <t>E02167</t>
  </si>
  <si>
    <t>Nolan Howard</t>
  </si>
  <si>
    <t>Quality Engineer</t>
  </si>
  <si>
    <t>E02168</t>
  </si>
  <si>
    <t>Paisley Dominguez</t>
  </si>
  <si>
    <t>E02169</t>
  </si>
  <si>
    <t>Eliana Ho</t>
  </si>
  <si>
    <t>E02170</t>
  </si>
  <si>
    <t>Charles Miller</t>
  </si>
  <si>
    <t>E02171</t>
  </si>
  <si>
    <t>Mia Jiang</t>
  </si>
  <si>
    <t>E02172</t>
  </si>
  <si>
    <t>Skylar Parker</t>
  </si>
  <si>
    <t>E02173</t>
  </si>
  <si>
    <t>Zoey Leung</t>
  </si>
  <si>
    <t>E02174</t>
  </si>
  <si>
    <t>Austin Moua</t>
  </si>
  <si>
    <t>E02175</t>
  </si>
  <si>
    <t>Christopher Robinson</t>
  </si>
  <si>
    <t>E02176</t>
  </si>
  <si>
    <t>Jayden Zhang</t>
  </si>
  <si>
    <t>E02177</t>
  </si>
  <si>
    <t>Cora Mejia</t>
  </si>
  <si>
    <t>E02178</t>
  </si>
  <si>
    <t>Julian Harris</t>
  </si>
  <si>
    <t>Operations Engineer</t>
  </si>
  <si>
    <t>E02179</t>
  </si>
  <si>
    <t>Anthony Espinoza</t>
  </si>
  <si>
    <t>E02180</t>
  </si>
  <si>
    <t>Aubrey Ruiz</t>
  </si>
  <si>
    <t>E02181</t>
  </si>
  <si>
    <t>Piper Tang</t>
  </si>
  <si>
    <t>E02182</t>
  </si>
  <si>
    <t>Colton Delgado</t>
  </si>
  <si>
    <t>E02183</t>
  </si>
  <si>
    <t>Madeline Chung</t>
  </si>
  <si>
    <t>E02184</t>
  </si>
  <si>
    <t>Ariana Sharma</t>
  </si>
  <si>
    <t>E02185</t>
  </si>
  <si>
    <t>Julian Marquez</t>
  </si>
  <si>
    <t>E02186</t>
  </si>
  <si>
    <t>Logan Reyes</t>
  </si>
  <si>
    <t>E02187</t>
  </si>
  <si>
    <t>Penelope Mai</t>
  </si>
  <si>
    <t>E02188</t>
  </si>
  <si>
    <t>Ryan Reed</t>
  </si>
  <si>
    <t>E02189</t>
  </si>
  <si>
    <t>Grayson Hwang</t>
  </si>
  <si>
    <t>E02190</t>
  </si>
  <si>
    <t>Ezra Tan</t>
  </si>
  <si>
    <t>E02191</t>
  </si>
  <si>
    <t>David Ha</t>
  </si>
  <si>
    <t>E02192</t>
  </si>
  <si>
    <t>Lillian Vang</t>
  </si>
  <si>
    <t>E02193</t>
  </si>
  <si>
    <t>Sofia Zhang</t>
  </si>
  <si>
    <t>E02194</t>
  </si>
  <si>
    <t>Athena Daniels</t>
  </si>
  <si>
    <t>E02195</t>
  </si>
  <si>
    <t>Jameson Shin</t>
  </si>
  <si>
    <t>E02196</t>
  </si>
  <si>
    <t>Everly Avila</t>
  </si>
  <si>
    <t>E02197</t>
  </si>
  <si>
    <t>Liam Nelson</t>
  </si>
  <si>
    <t>E02198</t>
  </si>
  <si>
    <t>Theodore Lai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</si>
  <si>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</si>
  <si>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</si>
  <si>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</si>
  <si>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</si>
  <si>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</si>
  <si>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</si>
  <si>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</si>
  <si>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</si>
  <si>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E02203</t>
  </si>
  <si>
    <t>Ellie Wilson</t>
  </si>
  <si>
    <t>E02204</t>
  </si>
  <si>
    <t>Peyton Powell</t>
  </si>
  <si>
    <t>E02205</t>
  </si>
  <si>
    <t>Hailey Rojas</t>
  </si>
  <si>
    <t>E02206</t>
  </si>
  <si>
    <t>Kai Singh</t>
  </si>
  <si>
    <t>E02207</t>
  </si>
  <si>
    <t>Ryan Rivera</t>
  </si>
  <si>
    <t>E02208</t>
  </si>
  <si>
    <t>Everett Lu</t>
  </si>
  <si>
    <t>E02209</t>
  </si>
  <si>
    <t>Layla Nunez</t>
  </si>
  <si>
    <t>E02210</t>
  </si>
  <si>
    <t>Liliana Collins</t>
  </si>
  <si>
    <t>E02211</t>
  </si>
  <si>
    <t>Ezekiel Jenkins</t>
  </si>
  <si>
    <t>E02212</t>
  </si>
  <si>
    <t>Christopher Wang</t>
  </si>
  <si>
    <t>E02213</t>
  </si>
  <si>
    <t>Savannah Rodriguez</t>
  </si>
  <si>
    <t>E02214</t>
  </si>
  <si>
    <t>Lyla Turner</t>
  </si>
  <si>
    <t>E02215</t>
  </si>
  <si>
    <t>Adrian Ngo</t>
  </si>
  <si>
    <t>E02216</t>
  </si>
  <si>
    <t>Aria Juarez</t>
  </si>
  <si>
    <t>E02217</t>
  </si>
  <si>
    <t>Audrey Ramos</t>
  </si>
  <si>
    <t>E02218</t>
  </si>
  <si>
    <t>Hazel Cho</t>
  </si>
  <si>
    <t>E02219</t>
  </si>
  <si>
    <t>Iris Chung</t>
  </si>
  <si>
    <t>E02220</t>
  </si>
  <si>
    <t>Thomas Rodriguez</t>
  </si>
  <si>
    <t>E02221</t>
  </si>
  <si>
    <t>Avery Lo</t>
  </si>
  <si>
    <t>E02222</t>
  </si>
  <si>
    <t>Gabriel Bell</t>
  </si>
  <si>
    <t>E02223</t>
  </si>
  <si>
    <t>Gianna Walker</t>
  </si>
  <si>
    <t>E02224</t>
  </si>
  <si>
    <t>Axel Bailey</t>
  </si>
  <si>
    <t>E02225</t>
  </si>
  <si>
    <t>Scarlett Green</t>
  </si>
  <si>
    <t>E02226</t>
  </si>
  <si>
    <t>Jackson Wong</t>
  </si>
  <si>
    <t>E02227</t>
  </si>
  <si>
    <t>Eva Jimenez</t>
  </si>
  <si>
    <t>E02228</t>
  </si>
  <si>
    <t>Ian Ma</t>
  </si>
  <si>
    <t>E02229</t>
  </si>
  <si>
    <t>Luna Castro</t>
  </si>
  <si>
    <t>E02230</t>
  </si>
  <si>
    <t>Nolan Brooks</t>
  </si>
  <si>
    <t>E02231</t>
  </si>
  <si>
    <t>Jayden Jones</t>
  </si>
  <si>
    <t>E02232</t>
  </si>
  <si>
    <t>Asher Hsu</t>
  </si>
  <si>
    <t>E02233</t>
  </si>
  <si>
    <t>Greyson Lim</t>
  </si>
  <si>
    <t>E02234</t>
  </si>
  <si>
    <t>Chloe Miller</t>
  </si>
  <si>
    <t>E02235</t>
  </si>
  <si>
    <t>Jaxson Brooks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</si>
  <si>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</si>
  <si>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</si>
  <si>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</si>
  <si>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</si>
  <si>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</si>
  <si>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</si>
  <si>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</si>
  <si>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</si>
  <si>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</si>
  <si>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</si>
  <si>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E02241</t>
  </si>
  <si>
    <t>Carter Simmons</t>
  </si>
  <si>
    <t>E02242</t>
  </si>
  <si>
    <t>Emilia Xu</t>
  </si>
  <si>
    <t>E02243</t>
  </si>
  <si>
    <t>Adam Medina</t>
  </si>
  <si>
    <t>E02244</t>
  </si>
  <si>
    <t>Connor Howard</t>
  </si>
  <si>
    <t>E02245</t>
  </si>
  <si>
    <t>Audrey Duong</t>
  </si>
  <si>
    <t>E02246</t>
  </si>
  <si>
    <t>Landon Reyes</t>
  </si>
  <si>
    <t>E02247</t>
  </si>
  <si>
    <t>Noah Ma</t>
  </si>
  <si>
    <t>E02248</t>
  </si>
  <si>
    <t>Lucas Alexander</t>
  </si>
  <si>
    <t>E02249</t>
  </si>
  <si>
    <t>Henry Vo</t>
  </si>
  <si>
    <t>E02250</t>
  </si>
  <si>
    <t>Mila Han</t>
  </si>
  <si>
    <t>E02251</t>
  </si>
  <si>
    <t>Genesis Herrera</t>
  </si>
  <si>
    <t>E02252</t>
  </si>
  <si>
    <t>Olivia Vazquez</t>
  </si>
  <si>
    <t>E02253</t>
  </si>
  <si>
    <t>Leilani Ng</t>
  </si>
  <si>
    <t>E02254</t>
  </si>
  <si>
    <t>Olivia Mendoza</t>
  </si>
  <si>
    <t>E02255</t>
  </si>
  <si>
    <t>Skylar Xu</t>
  </si>
  <si>
    <t>E02256</t>
  </si>
  <si>
    <t>Eloise Williams</t>
  </si>
  <si>
    <t>E02257</t>
  </si>
  <si>
    <t>Jackson Maldonado</t>
  </si>
  <si>
    <t>E02258</t>
  </si>
  <si>
    <t>Christian Harris</t>
  </si>
  <si>
    <t>E02259</t>
  </si>
  <si>
    <t>Penelope Santos</t>
  </si>
  <si>
    <t>E02260</t>
  </si>
  <si>
    <t>Nicholas Zhou</t>
  </si>
  <si>
    <t>E02261</t>
  </si>
  <si>
    <t>Ayla Garza</t>
  </si>
  <si>
    <t>E02262</t>
  </si>
  <si>
    <t>Carson Mai</t>
  </si>
  <si>
    <t>E02263</t>
  </si>
  <si>
    <t>E02264</t>
  </si>
  <si>
    <t>Anthony Ho</t>
  </si>
  <si>
    <t>E02265</t>
  </si>
  <si>
    <t>Clara Lopez</t>
  </si>
  <si>
    <t>E02266</t>
  </si>
  <si>
    <t>Melody Woods</t>
  </si>
  <si>
    <t>E02267</t>
  </si>
  <si>
    <t>Matthew Simmons</t>
  </si>
  <si>
    <t>E02268</t>
  </si>
  <si>
    <t>Gabriella Carrillo</t>
  </si>
  <si>
    <t>E02269</t>
  </si>
  <si>
    <t>Lydia Juarez</t>
  </si>
  <si>
    <t>E02270</t>
  </si>
  <si>
    <t>Ava Carrillo</t>
  </si>
  <si>
    <t>E02271</t>
  </si>
  <si>
    <t>Elena Sharma</t>
  </si>
  <si>
    <t>E02272</t>
  </si>
  <si>
    <t>Julia Ahmed</t>
  </si>
  <si>
    <t>E02273</t>
  </si>
  <si>
    <t>Iris Vo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</si>
  <si>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</si>
  <si>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</si>
  <si>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</si>
  <si>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</si>
  <si>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</si>
  <si>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</si>
  <si>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</si>
  <si>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</si>
  <si>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E02278</t>
  </si>
  <si>
    <t>Amelia Mehta</t>
  </si>
  <si>
    <t>E02279</t>
  </si>
  <si>
    <t>Axel Leung</t>
  </si>
  <si>
    <t>E02280</t>
  </si>
  <si>
    <t>Lucas Lam</t>
  </si>
  <si>
    <t>E02281</t>
  </si>
  <si>
    <t>Jose Thompson</t>
  </si>
  <si>
    <t>E02282</t>
  </si>
  <si>
    <t>Wesley Duong</t>
  </si>
  <si>
    <t>E02283</t>
  </si>
  <si>
    <t>Adeline Maldonado</t>
  </si>
  <si>
    <t>E02284</t>
  </si>
  <si>
    <t>Elias Diaz</t>
  </si>
  <si>
    <t>E02285</t>
  </si>
  <si>
    <t>Wyatt Aguilar</t>
  </si>
  <si>
    <t>E02286</t>
  </si>
  <si>
    <t>Josephine Espinoza</t>
  </si>
  <si>
    <t>E02287</t>
  </si>
  <si>
    <t>Adeline Lai</t>
  </si>
  <si>
    <t>E02288</t>
  </si>
  <si>
    <t>Christopher Vu</t>
  </si>
  <si>
    <t>E02289</t>
  </si>
  <si>
    <t>Kai Vega</t>
  </si>
  <si>
    <t>E02290</t>
  </si>
  <si>
    <t>Hailey Chin</t>
  </si>
  <si>
    <t>E02291</t>
  </si>
  <si>
    <t>Eleanor Xi</t>
  </si>
  <si>
    <t>E02292</t>
  </si>
  <si>
    <t>Lily Molina</t>
  </si>
  <si>
    <t>E02293</t>
  </si>
  <si>
    <t>Levi Vasquez</t>
  </si>
  <si>
    <t>E02294</t>
  </si>
  <si>
    <t>Elijah Washington</t>
  </si>
  <si>
    <t>E02295</t>
  </si>
  <si>
    <t>Gianna Park</t>
  </si>
  <si>
    <t>E02296</t>
  </si>
  <si>
    <t>Melody Leung</t>
  </si>
  <si>
    <t>E02297</t>
  </si>
  <si>
    <t>Liliana Valdez</t>
  </si>
  <si>
    <t>E02298</t>
  </si>
  <si>
    <t>Ezekiel Kumar</t>
  </si>
  <si>
    <t>E02299</t>
  </si>
  <si>
    <t>Ruby Rahman</t>
  </si>
  <si>
    <t>E02300</t>
  </si>
  <si>
    <t>Natalie Stewart</t>
  </si>
  <si>
    <t>E02301</t>
  </si>
  <si>
    <t>Charlotte Lim</t>
  </si>
  <si>
    <t>E02302</t>
  </si>
  <si>
    <t>Elena Campos</t>
  </si>
  <si>
    <t>E02303</t>
  </si>
  <si>
    <t>Vivian Lim</t>
  </si>
  <si>
    <t>E02304</t>
  </si>
  <si>
    <t>Madison Xu</t>
  </si>
  <si>
    <t>E02305</t>
  </si>
  <si>
    <t>Ava Aguilar</t>
  </si>
  <si>
    <t>E02306</t>
  </si>
  <si>
    <t>Kayden Patel</t>
  </si>
  <si>
    <t>E02307</t>
  </si>
  <si>
    <t>Penelope Desai</t>
  </si>
  <si>
    <t>E02308</t>
  </si>
  <si>
    <t>Henry Vang</t>
  </si>
  <si>
    <t>E02309</t>
  </si>
  <si>
    <t>Eliana Turner</t>
  </si>
  <si>
    <t>E02310</t>
  </si>
  <si>
    <t>Charlotte Tran</t>
  </si>
  <si>
    <t>E02311</t>
  </si>
  <si>
    <t>Everly Coleman</t>
  </si>
  <si>
    <t>E02312</t>
  </si>
  <si>
    <t>Matthew Harris</t>
  </si>
  <si>
    <t>E02313</t>
  </si>
  <si>
    <t>Emilia Barnes</t>
  </si>
  <si>
    <t>E02314</t>
  </si>
  <si>
    <t>Sophie Griffin</t>
  </si>
  <si>
    <t>E02315</t>
  </si>
  <si>
    <t>Kai Phillips</t>
  </si>
  <si>
    <t>E02316</t>
  </si>
  <si>
    <t>Dylan Khan</t>
  </si>
  <si>
    <t>E02317</t>
  </si>
  <si>
    <t>Nevaeh Clark</t>
  </si>
  <si>
    <t>E02318</t>
  </si>
  <si>
    <t>Carter Luu</t>
  </si>
  <si>
    <t>E02319</t>
  </si>
  <si>
    <t>Jordan Ngo</t>
  </si>
  <si>
    <t>E02320</t>
  </si>
  <si>
    <t>Jackson Hu</t>
  </si>
  <si>
    <t>E02321</t>
  </si>
  <si>
    <t>Madelyn Kang</t>
  </si>
  <si>
    <t>E02322</t>
  </si>
  <si>
    <t>Everleigh Bell</t>
  </si>
  <si>
    <t>E02323</t>
  </si>
  <si>
    <t>Eliana Trinh</t>
  </si>
  <si>
    <t>E02324</t>
  </si>
  <si>
    <t>Oliver Ford</t>
  </si>
  <si>
    <t>E02325</t>
  </si>
  <si>
    <t>Ryan Huang</t>
  </si>
  <si>
    <t>E02326</t>
  </si>
  <si>
    <t>Gabriel Ahmed</t>
  </si>
  <si>
    <t>E02327</t>
  </si>
  <si>
    <t>Ivy Rios</t>
  </si>
  <si>
    <t>E02328</t>
  </si>
  <si>
    <t>Luca Hunter</t>
  </si>
  <si>
    <t>E02329</t>
  </si>
  <si>
    <t>Claire Owens</t>
  </si>
  <si>
    <t>E02330</t>
  </si>
  <si>
    <t>Aubrey Maldonado</t>
  </si>
  <si>
    <t>E02331</t>
  </si>
  <si>
    <t>Elias Vasquez</t>
  </si>
  <si>
    <t>E02332</t>
  </si>
  <si>
    <t>Melody Luu</t>
  </si>
  <si>
    <t>E02333</t>
  </si>
  <si>
    <t>Christopher Luu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</si>
  <si>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</si>
  <si>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</si>
  <si>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</si>
  <si>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</si>
  <si>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</si>
  <si>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</si>
  <si>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</si>
  <si>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</si>
  <si>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E02338</t>
  </si>
  <si>
    <t>Maverick Hwang</t>
  </si>
  <si>
    <t>E02339</t>
  </si>
  <si>
    <t>Noah Truong</t>
  </si>
  <si>
    <t>E02340</t>
  </si>
  <si>
    <t>Willow Guzman</t>
  </si>
  <si>
    <t>E02341</t>
  </si>
  <si>
    <t>Rylee Howard</t>
  </si>
  <si>
    <t>E02342</t>
  </si>
  <si>
    <t>Ian Marquez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</si>
  <si>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</si>
  <si>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</si>
  <si>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</si>
  <si>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</si>
  <si>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</si>
  <si>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</si>
  <si>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</si>
  <si>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</si>
  <si>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E02347</t>
  </si>
  <si>
    <t>Elizabeth Vasquez</t>
  </si>
  <si>
    <t>E02348</t>
  </si>
  <si>
    <t>Samantha Ford</t>
  </si>
  <si>
    <t>E02349</t>
  </si>
  <si>
    <t>Thomas Silva</t>
  </si>
  <si>
    <t>E02350</t>
  </si>
  <si>
    <t>Charlotte Park</t>
  </si>
  <si>
    <t>E02351</t>
  </si>
  <si>
    <t>Liam Jimenez</t>
  </si>
  <si>
    <t>E02352</t>
  </si>
  <si>
    <t>Ivy Liu</t>
  </si>
  <si>
    <t>E02353</t>
  </si>
  <si>
    <t>Jayden Dixon</t>
  </si>
  <si>
    <t>E02354</t>
  </si>
  <si>
    <t>Nevaeh Butler</t>
  </si>
  <si>
    <t>E02355</t>
  </si>
  <si>
    <t>Leonardo Li</t>
  </si>
  <si>
    <t>E02356</t>
  </si>
  <si>
    <t>Kinsley Woods</t>
  </si>
  <si>
    <t>E02357</t>
  </si>
  <si>
    <t>Abigail Chu</t>
  </si>
  <si>
    <t>E02358</t>
  </si>
  <si>
    <t>Ava Xiong</t>
  </si>
  <si>
    <t>E02359</t>
  </si>
  <si>
    <t>Olivia Marquez</t>
  </si>
  <si>
    <t>E02360</t>
  </si>
  <si>
    <t>Claire Vazquez</t>
  </si>
  <si>
    <t>E02361</t>
  </si>
  <si>
    <t>Christian Castro</t>
  </si>
  <si>
    <t>E02362</t>
  </si>
  <si>
    <t>Mason Oh</t>
  </si>
  <si>
    <t>E02363</t>
  </si>
  <si>
    <t>Violet Santiago</t>
  </si>
  <si>
    <t>E02364</t>
  </si>
  <si>
    <t>Lily Rios</t>
  </si>
  <si>
    <t>E02365</t>
  </si>
  <si>
    <t>Kinsley Stewart</t>
  </si>
  <si>
    <t>E02366</t>
  </si>
  <si>
    <t>Aria Molina</t>
  </si>
  <si>
    <t>E02367</t>
  </si>
  <si>
    <t>James Cheng</t>
  </si>
  <si>
    <t>E02368</t>
  </si>
  <si>
    <t>Mila Vang</t>
  </si>
  <si>
    <t>E02369</t>
  </si>
  <si>
    <t>Alice Liu</t>
  </si>
  <si>
    <t>E02370</t>
  </si>
  <si>
    <t>Delilah Gonzalez</t>
  </si>
  <si>
    <t>E02371</t>
  </si>
  <si>
    <t>Samuel Tang</t>
  </si>
  <si>
    <t>E02372</t>
  </si>
  <si>
    <t>Serenity Gray</t>
  </si>
  <si>
    <t>E02373</t>
  </si>
  <si>
    <t>Benjamin Estrada</t>
  </si>
  <si>
    <t>E02374</t>
  </si>
  <si>
    <t>Wesley Han</t>
  </si>
  <si>
    <t>E02375</t>
  </si>
  <si>
    <t>Nora Herrera</t>
  </si>
  <si>
    <t>E02376</t>
  </si>
  <si>
    <t>Lincoln Harris</t>
  </si>
  <si>
    <t>E02377</t>
  </si>
  <si>
    <t>Charles Gonzales</t>
  </si>
  <si>
    <t>E02378</t>
  </si>
  <si>
    <t>Athena Cheng</t>
  </si>
  <si>
    <t>E02379</t>
  </si>
  <si>
    <t>David Garza</t>
  </si>
  <si>
    <t>E02380</t>
  </si>
  <si>
    <t>Hunter Doan</t>
  </si>
  <si>
    <t>E02381</t>
  </si>
  <si>
    <t>Julian Lam</t>
  </si>
  <si>
    <t>E02382</t>
  </si>
  <si>
    <t>Sofia Estrada</t>
  </si>
  <si>
    <t>E02383</t>
  </si>
  <si>
    <t>Jordan Chen</t>
  </si>
  <si>
    <t>E02384</t>
  </si>
  <si>
    <t>Eloise Huang</t>
  </si>
  <si>
    <t>E02385</t>
  </si>
  <si>
    <t>Ivy Mehta</t>
  </si>
  <si>
    <t>E02386</t>
  </si>
  <si>
    <t>Eli Castillo</t>
  </si>
  <si>
    <t>E02387</t>
  </si>
  <si>
    <t>Nolan Garcia</t>
  </si>
  <si>
    <t>E02388</t>
  </si>
  <si>
    <t>Alexander Zhu</t>
  </si>
  <si>
    <t>E02389</t>
  </si>
  <si>
    <t>Victoria Wu</t>
  </si>
  <si>
    <t>E02390</t>
  </si>
  <si>
    <t>Mateo Jordan</t>
  </si>
  <si>
    <t>E02391</t>
  </si>
  <si>
    <t>Everly Martin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</si>
  <si>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</si>
  <si>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</si>
  <si>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</si>
  <si>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</si>
  <si>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</si>
  <si>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</si>
  <si>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</si>
  <si>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</si>
  <si>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E02396</t>
  </si>
  <si>
    <t>Olivia Turner</t>
  </si>
  <si>
    <t>E02397</t>
  </si>
  <si>
    <t>Cooper Rivera</t>
  </si>
  <si>
    <t>E02398</t>
  </si>
  <si>
    <t>Hailey Washington</t>
  </si>
  <si>
    <t>E02399</t>
  </si>
  <si>
    <t>Mia Vasquez</t>
  </si>
  <si>
    <t>E02400</t>
  </si>
  <si>
    <t>Jose Grant</t>
  </si>
  <si>
    <t>E02401</t>
  </si>
  <si>
    <t>Nathan Yee</t>
  </si>
  <si>
    <t>E02402</t>
  </si>
  <si>
    <t>Isabella Munoz</t>
  </si>
  <si>
    <t>E02403</t>
  </si>
  <si>
    <t>Michael Turner</t>
  </si>
  <si>
    <t>E02404</t>
  </si>
  <si>
    <t>Oliver Jones</t>
  </si>
  <si>
    <t>E02405</t>
  </si>
  <si>
    <t>Charles Taylor</t>
  </si>
  <si>
    <t>E02406</t>
  </si>
  <si>
    <t>Gianna Alvarez</t>
  </si>
  <si>
    <t>E02407</t>
  </si>
  <si>
    <t>Nova Martin</t>
  </si>
  <si>
    <t>E02408</t>
  </si>
  <si>
    <t>Julia Gonzalez</t>
  </si>
  <si>
    <t>E02409</t>
  </si>
  <si>
    <t>Athena Vu</t>
  </si>
  <si>
    <t>E02410</t>
  </si>
  <si>
    <t>Caroline Bui</t>
  </si>
  <si>
    <t>E02411</t>
  </si>
  <si>
    <t>Daniel Ali</t>
  </si>
  <si>
    <t>E02412</t>
  </si>
  <si>
    <t>Iris Huang</t>
  </si>
  <si>
    <t>E02413</t>
  </si>
  <si>
    <t>Natalia Cheng</t>
  </si>
  <si>
    <t>E02414</t>
  </si>
  <si>
    <t>Owen Evans</t>
  </si>
  <si>
    <t>E02415</t>
  </si>
  <si>
    <t>Angel Dixon</t>
  </si>
  <si>
    <t>E02416</t>
  </si>
  <si>
    <t>Aubrey Guerrero</t>
  </si>
  <si>
    <t>E02417</t>
  </si>
  <si>
    <t>Ivy Do</t>
  </si>
  <si>
    <t>E02418</t>
  </si>
  <si>
    <t>Kai Gutierrez</t>
  </si>
  <si>
    <t>E02419</t>
  </si>
  <si>
    <t>Caroline Ahmed</t>
  </si>
  <si>
    <t>E02420</t>
  </si>
  <si>
    <t>Alice Sharma</t>
  </si>
  <si>
    <t>E02421</t>
  </si>
  <si>
    <t>Leo Simmons</t>
  </si>
  <si>
    <t>E02422</t>
  </si>
  <si>
    <t>Asher Hong</t>
  </si>
  <si>
    <t>E02423</t>
  </si>
  <si>
    <t>Gianna Ramirez</t>
  </si>
  <si>
    <t>E02424</t>
  </si>
  <si>
    <t>Thomas Smith</t>
  </si>
  <si>
    <t>E02425</t>
  </si>
  <si>
    <t>Carter Hunter</t>
  </si>
  <si>
    <t>E02426</t>
  </si>
  <si>
    <t>Charlotte Green</t>
  </si>
  <si>
    <t>E02427</t>
  </si>
  <si>
    <t>Lincoln Holmes</t>
  </si>
  <si>
    <t>E02428</t>
  </si>
  <si>
    <t>Hudson Hu</t>
  </si>
  <si>
    <t>E02429</t>
  </si>
  <si>
    <t>Noah Mitchell</t>
  </si>
  <si>
    <t>E02430</t>
  </si>
  <si>
    <t>Liliana Choi</t>
  </si>
  <si>
    <t>E02431</t>
  </si>
  <si>
    <t>Leonardo Cho</t>
  </si>
  <si>
    <t>E02432</t>
  </si>
  <si>
    <t>Oliver Delgado</t>
  </si>
  <si>
    <t>E02433</t>
  </si>
  <si>
    <t>Isabella Roberts</t>
  </si>
  <si>
    <t>E02434</t>
  </si>
  <si>
    <t>Luca Desai</t>
  </si>
  <si>
    <t>E02435</t>
  </si>
  <si>
    <t>William Juarez</t>
  </si>
  <si>
    <t>E02436</t>
  </si>
  <si>
    <t>Ryan Alvarez</t>
  </si>
  <si>
    <t>E02437</t>
  </si>
  <si>
    <t>Hudson Ha</t>
  </si>
  <si>
    <t>E02438</t>
  </si>
  <si>
    <t>Hannah Brown</t>
  </si>
  <si>
    <t>E02439</t>
  </si>
  <si>
    <t>Hadley Le</t>
  </si>
  <si>
    <t>E02440</t>
  </si>
  <si>
    <t>Jaxson Shah</t>
  </si>
  <si>
    <t>E02441</t>
  </si>
  <si>
    <t>Christopher Delgado</t>
  </si>
  <si>
    <t>E02442</t>
  </si>
  <si>
    <t>Hannah Ng</t>
  </si>
  <si>
    <t>E02443</t>
  </si>
  <si>
    <t>Austin Ngo</t>
  </si>
  <si>
    <t>E02444</t>
  </si>
  <si>
    <t>Gianna Han</t>
  </si>
  <si>
    <t>E02445</t>
  </si>
  <si>
    <t>Isaac Choi</t>
  </si>
  <si>
    <t>E02446</t>
  </si>
  <si>
    <t>Madeline Smith</t>
  </si>
  <si>
    <t>E02447</t>
  </si>
  <si>
    <t>Ellie Fernandez</t>
  </si>
  <si>
    <t>E02448</t>
  </si>
  <si>
    <t>Lyla Lai</t>
  </si>
  <si>
    <t>E02449</t>
  </si>
  <si>
    <t>Emily Moore</t>
  </si>
  <si>
    <t>E02450</t>
  </si>
  <si>
    <t>Aubrey Moreno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</si>
  <si>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</si>
  <si>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</si>
  <si>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</si>
  <si>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</si>
  <si>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</si>
  <si>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</si>
  <si>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</si>
  <si>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</si>
  <si>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E02455</t>
  </si>
  <si>
    <t>Christopher Sharma</t>
  </si>
  <si>
    <t>E02456</t>
  </si>
  <si>
    <t>Lucas Grant</t>
  </si>
  <si>
    <t>E02457</t>
  </si>
  <si>
    <t>Delilah Washington</t>
  </si>
  <si>
    <t>E02458</t>
  </si>
  <si>
    <t>Eloise Molina</t>
  </si>
  <si>
    <t>E02459</t>
  </si>
  <si>
    <t>Clara Desai</t>
  </si>
  <si>
    <t>E02460</t>
  </si>
  <si>
    <t>Audrey Campbell</t>
  </si>
  <si>
    <t>E02461</t>
  </si>
  <si>
    <t>Delilah Alvarez</t>
  </si>
  <si>
    <t>E02462</t>
  </si>
  <si>
    <t>Luke Luna</t>
  </si>
  <si>
    <t>E02463</t>
  </si>
  <si>
    <t>Elizabeth Tan</t>
  </si>
  <si>
    <t>E02464</t>
  </si>
  <si>
    <t>Sophia Wang</t>
  </si>
  <si>
    <t>E02465</t>
  </si>
  <si>
    <t>Nova Park</t>
  </si>
  <si>
    <t>E02466</t>
  </si>
  <si>
    <t>Josiah Khan</t>
  </si>
  <si>
    <t>E02467</t>
  </si>
  <si>
    <t>Madison Gray</t>
  </si>
  <si>
    <t>E02468</t>
  </si>
  <si>
    <t>Luca Washington</t>
  </si>
  <si>
    <t>E02469</t>
  </si>
  <si>
    <t>Isaac Cruz</t>
  </si>
  <si>
    <t>E02470</t>
  </si>
  <si>
    <t>Ellie Ortega</t>
  </si>
  <si>
    <t>E02471</t>
  </si>
  <si>
    <t>Ian Huang</t>
  </si>
  <si>
    <t>E02472</t>
  </si>
  <si>
    <t>Jayden Ahmed</t>
  </si>
  <si>
    <t>E02473</t>
  </si>
  <si>
    <t>Violet Simmons</t>
  </si>
  <si>
    <t>E02474</t>
  </si>
  <si>
    <t>William Roberts</t>
  </si>
  <si>
    <t>E02475</t>
  </si>
  <si>
    <t>Penelope Sandoval</t>
  </si>
  <si>
    <t>E02476</t>
  </si>
  <si>
    <t>Emilia Ortiz</t>
  </si>
  <si>
    <t>E02477</t>
  </si>
  <si>
    <t>Layla Gutierrez</t>
  </si>
  <si>
    <t>E02478</t>
  </si>
  <si>
    <t>Dylan Vu</t>
  </si>
  <si>
    <t>E02479</t>
  </si>
  <si>
    <t>Peyton Wong</t>
  </si>
  <si>
    <t>E02480</t>
  </si>
  <si>
    <t>Santiago f Banks</t>
  </si>
  <si>
    <t>E02481</t>
  </si>
  <si>
    <t>Caroline Wong</t>
  </si>
  <si>
    <t>E02482</t>
  </si>
  <si>
    <t>Quinn Ho</t>
  </si>
  <si>
    <t>E02483</t>
  </si>
  <si>
    <t>Caroline Nunez</t>
  </si>
  <si>
    <t>E02484</t>
  </si>
  <si>
    <t>Carson Brown</t>
  </si>
  <si>
    <t>E02485</t>
  </si>
  <si>
    <t>Olivia Maldonado</t>
  </si>
  <si>
    <t>E02486</t>
  </si>
  <si>
    <t>Emilia Chung</t>
  </si>
  <si>
    <t>E02487</t>
  </si>
  <si>
    <t>Leilani Shin</t>
  </si>
  <si>
    <t>E02488</t>
  </si>
  <si>
    <t>Abigail Zhu</t>
  </si>
  <si>
    <t>E02489</t>
  </si>
  <si>
    <t>Autumn Xiong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</si>
  <si>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</si>
  <si>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</si>
  <si>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</si>
  <si>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</si>
  <si>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</si>
  <si>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</si>
  <si>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</si>
  <si>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</si>
  <si>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E02494</t>
  </si>
  <si>
    <t>Peyton Gomez</t>
  </si>
  <si>
    <t>E02495</t>
  </si>
  <si>
    <t>Ethan Vargas</t>
  </si>
  <si>
    <t>E02496</t>
  </si>
  <si>
    <t>Serenity Morris</t>
  </si>
  <si>
    <t>E02497</t>
  </si>
  <si>
    <t>Vivian Chan</t>
  </si>
  <si>
    <t>E02498</t>
  </si>
  <si>
    <t>Lincoln Singh</t>
  </si>
  <si>
    <t>E02499</t>
  </si>
  <si>
    <t>Ayla Lim</t>
  </si>
  <si>
    <t>E02500</t>
  </si>
  <si>
    <t>Leilani Hong</t>
  </si>
  <si>
    <t>E02501</t>
  </si>
  <si>
    <t>Victoria Doan</t>
  </si>
  <si>
    <t>E02502</t>
  </si>
  <si>
    <t>Naomi Wright</t>
  </si>
  <si>
    <t>E02503</t>
  </si>
  <si>
    <t>Scarlett Howard</t>
  </si>
  <si>
    <t>E02504</t>
  </si>
  <si>
    <t>Victoria Vo</t>
  </si>
  <si>
    <t>E02505</t>
  </si>
  <si>
    <t>Oliver Fernandez</t>
  </si>
  <si>
    <t>E02506</t>
  </si>
  <si>
    <t>Luca Jiang</t>
  </si>
  <si>
    <t>E02507</t>
  </si>
  <si>
    <t>Charlotte Owens</t>
  </si>
  <si>
    <t>E02508</t>
  </si>
  <si>
    <t>Stella Tan</t>
  </si>
  <si>
    <t>E02509</t>
  </si>
  <si>
    <t>Ellie Yoon</t>
  </si>
  <si>
    <t>E02510</t>
  </si>
  <si>
    <t>Ella Do</t>
  </si>
  <si>
    <t>E02511</t>
  </si>
  <si>
    <t>Lucas Cruz</t>
  </si>
  <si>
    <t>E02512</t>
  </si>
  <si>
    <t>Sarah Mehta</t>
  </si>
  <si>
    <t>E02513</t>
  </si>
  <si>
    <t>Anthony Phan</t>
  </si>
  <si>
    <t>E02514</t>
  </si>
  <si>
    <t>David Chu</t>
  </si>
  <si>
    <t>E02515</t>
  </si>
  <si>
    <t>Sebastian Sanders</t>
  </si>
  <si>
    <t>E02516</t>
  </si>
  <si>
    <t>Jayden Phillips</t>
  </si>
  <si>
    <t>E02517</t>
  </si>
  <si>
    <t>Caleb Chan</t>
  </si>
  <si>
    <t>E02518</t>
  </si>
  <si>
    <t>Ariana Santiago</t>
  </si>
  <si>
    <t>E02519</t>
  </si>
  <si>
    <t>Quinn Owens</t>
  </si>
  <si>
    <t>E02520</t>
  </si>
  <si>
    <t>Eli James</t>
  </si>
  <si>
    <t>E02521</t>
  </si>
  <si>
    <t>Ezra Aguilar</t>
  </si>
  <si>
    <t>E02522</t>
  </si>
  <si>
    <t>Anna Castro</t>
  </si>
  <si>
    <t>E02523</t>
  </si>
  <si>
    <t>Liliana Lewis</t>
  </si>
  <si>
    <t>E02524</t>
  </si>
  <si>
    <t>Maverick Alvarado</t>
  </si>
  <si>
    <t>E02525</t>
  </si>
  <si>
    <t>Nora Butler</t>
  </si>
  <si>
    <t>E02526</t>
  </si>
  <si>
    <t>Landon Rodriguez</t>
  </si>
  <si>
    <t>E02527</t>
  </si>
  <si>
    <t>Grace Harris</t>
  </si>
  <si>
    <t>E02528</t>
  </si>
  <si>
    <t>Jeremiah Medina</t>
  </si>
  <si>
    <t>E02529</t>
  </si>
  <si>
    <t>Charles Bryant</t>
  </si>
  <si>
    <t>E02530</t>
  </si>
  <si>
    <t>Elizabeth Dixon</t>
  </si>
  <si>
    <t>E02531</t>
  </si>
  <si>
    <t>Riley Phillips</t>
  </si>
  <si>
    <t>E02532</t>
  </si>
  <si>
    <t>Gianna Cruz</t>
  </si>
  <si>
    <t>E02533</t>
  </si>
  <si>
    <t>Lincoln Cruz</t>
  </si>
  <si>
    <t>E02534</t>
  </si>
  <si>
    <t>Ezekiel Contreras</t>
  </si>
  <si>
    <t>E02535</t>
  </si>
  <si>
    <t>Amelia Do</t>
  </si>
  <si>
    <t>E02536</t>
  </si>
  <si>
    <t>Anthony Perez</t>
  </si>
  <si>
    <t>E02537</t>
  </si>
  <si>
    <t>Elias Maldonado</t>
  </si>
  <si>
    <t>E02538</t>
  </si>
  <si>
    <t>Liam Luong</t>
  </si>
  <si>
    <t>E02539</t>
  </si>
  <si>
    <t>Jordan Ford</t>
  </si>
  <si>
    <t>E02540</t>
  </si>
  <si>
    <t>Mateo Chung</t>
  </si>
  <si>
    <t>E02541</t>
  </si>
  <si>
    <t>Jameson Vang</t>
  </si>
  <si>
    <t>E02542</t>
  </si>
  <si>
    <t>Samuel Thomas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</si>
  <si>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</si>
  <si>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</si>
  <si>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</si>
  <si>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</si>
  <si>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</si>
  <si>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</si>
  <si>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</si>
  <si>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</si>
  <si>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</si>
  <si>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</si>
  <si>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</si>
  <si>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</si>
  <si>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E02549</t>
  </si>
  <si>
    <t>Layla Munoz</t>
  </si>
  <si>
    <t>E02550</t>
  </si>
  <si>
    <t>Alexander Tang</t>
  </si>
  <si>
    <t>E02551</t>
  </si>
  <si>
    <t>Carson Chen</t>
  </si>
  <si>
    <t>E02552</t>
  </si>
  <si>
    <t>Kai Duong</t>
  </si>
  <si>
    <t>E02553</t>
  </si>
  <si>
    <t>Ayla Cooper</t>
  </si>
  <si>
    <t>E02554</t>
  </si>
  <si>
    <t>Eliza Espinoza</t>
  </si>
  <si>
    <t>E02555</t>
  </si>
  <si>
    <t>Axel King</t>
  </si>
  <si>
    <t>E02556</t>
  </si>
  <si>
    <t>Alexander Carter</t>
  </si>
  <si>
    <t>E02557</t>
  </si>
  <si>
    <t>Robert Rogers</t>
  </si>
  <si>
    <t>E02558</t>
  </si>
  <si>
    <t>Anthony Gupta</t>
  </si>
  <si>
    <t>E02559</t>
  </si>
  <si>
    <t>Jackson Gupta</t>
  </si>
  <si>
    <t>E02560</t>
  </si>
  <si>
    <t>Sophia Rodriguez</t>
  </si>
  <si>
    <t>E02561</t>
  </si>
  <si>
    <t>Cora Patel</t>
  </si>
  <si>
    <t>E02562</t>
  </si>
  <si>
    <t>Piper Hsu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</si>
  <si>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</si>
  <si>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</si>
  <si>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</si>
  <si>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</si>
  <si>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</si>
  <si>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</si>
  <si>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</si>
  <si>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</si>
  <si>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</si>
  <si>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</si>
  <si>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</si>
  <si>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</si>
  <si>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</si>
  <si>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</si>
  <si>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</si>
  <si>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</si>
  <si>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E02571</t>
  </si>
  <si>
    <t>Angel Patterson</t>
  </si>
  <si>
    <t>E02572</t>
  </si>
  <si>
    <t>Ryan Foster</t>
  </si>
  <si>
    <t>E02573</t>
  </si>
  <si>
    <t>Leonardo Patterson</t>
  </si>
  <si>
    <t>E02574</t>
  </si>
  <si>
    <t>William Song</t>
  </si>
  <si>
    <t>E02575</t>
  </si>
  <si>
    <t>Axel Aguilar</t>
  </si>
  <si>
    <t>E02576</t>
  </si>
  <si>
    <t>Liam Valdez</t>
  </si>
  <si>
    <t>E02577</t>
  </si>
  <si>
    <t>Hudson Washington</t>
  </si>
  <si>
    <t>E02578</t>
  </si>
  <si>
    <t>Owen Han</t>
  </si>
  <si>
    <t>E02579</t>
  </si>
  <si>
    <t>Harper Washington</t>
  </si>
  <si>
    <t>E02580</t>
  </si>
  <si>
    <t>Brooklyn Parker</t>
  </si>
  <si>
    <t>E02581</t>
  </si>
  <si>
    <t>Hudson Oh</t>
  </si>
  <si>
    <t>E02582</t>
  </si>
  <si>
    <t>Maverick Howard</t>
  </si>
  <si>
    <t>E02583</t>
  </si>
  <si>
    <t>Alexander Dominguez</t>
  </si>
  <si>
    <t>E02584</t>
  </si>
  <si>
    <t>Jack Garcia</t>
  </si>
  <si>
    <t>E02585</t>
  </si>
  <si>
    <t>Aiden Hu</t>
  </si>
  <si>
    <t>E02586</t>
  </si>
  <si>
    <t>Cora Espinoza</t>
  </si>
  <si>
    <t>E02587</t>
  </si>
  <si>
    <t>Naomi Moua</t>
  </si>
  <si>
    <t>E02588</t>
  </si>
  <si>
    <t>Liam Baker</t>
  </si>
  <si>
    <t>E02589</t>
  </si>
  <si>
    <t>Christian Liu</t>
  </si>
  <si>
    <t>E02590</t>
  </si>
  <si>
    <t>Aaron Munoz</t>
  </si>
  <si>
    <t>E02591</t>
  </si>
  <si>
    <t>Levi Kang</t>
  </si>
  <si>
    <t>E02592</t>
  </si>
  <si>
    <t>Isaac Foster</t>
  </si>
  <si>
    <t>E02593</t>
  </si>
  <si>
    <t>Samantha Zhu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</si>
  <si>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</si>
  <si>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</si>
  <si>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</si>
  <si>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</si>
  <si>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</si>
  <si>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</si>
  <si>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</si>
  <si>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</si>
  <si>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</si>
  <si>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</si>
  <si>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</si>
  <si>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</si>
  <si>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E02600</t>
  </si>
  <si>
    <t>Sofia Shin</t>
  </si>
  <si>
    <t>E02601</t>
  </si>
  <si>
    <t>Ezekiel Lee</t>
  </si>
  <si>
    <t>E02602</t>
  </si>
  <si>
    <t>Nevaeh Truong</t>
  </si>
  <si>
    <t>E02603</t>
  </si>
  <si>
    <t>Leah Ali</t>
  </si>
  <si>
    <t>E02604</t>
  </si>
  <si>
    <t>Emma Soto</t>
  </si>
  <si>
    <t>E02605</t>
  </si>
  <si>
    <t>Lydia Marquez</t>
  </si>
  <si>
    <t>E02606</t>
  </si>
  <si>
    <t>Cora Munoz</t>
  </si>
  <si>
    <t>E02607</t>
  </si>
  <si>
    <t>Hudson Ross</t>
  </si>
  <si>
    <t>E02608</t>
  </si>
  <si>
    <t>Aiden Cheng</t>
  </si>
  <si>
    <t>E02609</t>
  </si>
  <si>
    <t>Willow Vang</t>
  </si>
  <si>
    <t>E02610</t>
  </si>
  <si>
    <t>Jonathan Young</t>
  </si>
  <si>
    <t>E02611</t>
  </si>
  <si>
    <t>Isaac Rojas</t>
  </si>
  <si>
    <t>E02612</t>
  </si>
  <si>
    <t>Dylan Guzman</t>
  </si>
  <si>
    <t>E02613</t>
  </si>
  <si>
    <t>Sarah Shin</t>
  </si>
  <si>
    <t>E02614</t>
  </si>
  <si>
    <t>Michael Johnson</t>
  </si>
  <si>
    <t>E02615</t>
  </si>
  <si>
    <t>Riley Vega</t>
  </si>
  <si>
    <t>E02616</t>
  </si>
  <si>
    <t>Benjamin Ali</t>
  </si>
  <si>
    <t>E02617</t>
  </si>
  <si>
    <t>Ezekiel Cooper</t>
  </si>
  <si>
    <t>E02618</t>
  </si>
  <si>
    <t>Lyla Walker</t>
  </si>
  <si>
    <t>E02619</t>
  </si>
  <si>
    <t>Aria Cheng</t>
  </si>
  <si>
    <t>E02620</t>
  </si>
  <si>
    <t>Christopher Ramirez</t>
  </si>
  <si>
    <t>E02621</t>
  </si>
  <si>
    <t>Emily Roberts</t>
  </si>
  <si>
    <t>E02622</t>
  </si>
  <si>
    <t>Nathan Parker</t>
  </si>
  <si>
    <t>E02623</t>
  </si>
  <si>
    <t>Nora Her</t>
  </si>
  <si>
    <t>E02624</t>
  </si>
  <si>
    <t>Mia Brown</t>
  </si>
  <si>
    <t>E02625</t>
  </si>
  <si>
    <t>Hunter Hu</t>
  </si>
  <si>
    <t>E02626</t>
  </si>
  <si>
    <t>Luke Acosta</t>
  </si>
  <si>
    <t>E02627</t>
  </si>
  <si>
    <t>Sophia Griffin</t>
  </si>
  <si>
    <t>E02628</t>
  </si>
  <si>
    <t>Anthony Chu</t>
  </si>
  <si>
    <t>E02629</t>
  </si>
  <si>
    <t>Landon Ha</t>
  </si>
  <si>
    <t>E02630</t>
  </si>
  <si>
    <t>Layla Kang</t>
  </si>
  <si>
    <t>E02631</t>
  </si>
  <si>
    <t>Cora Xu</t>
  </si>
  <si>
    <t>E02632</t>
  </si>
  <si>
    <t>Rylee Campos</t>
  </si>
  <si>
    <t>E02633</t>
  </si>
  <si>
    <t>Amelia Foster</t>
  </si>
  <si>
    <t>E02634</t>
  </si>
  <si>
    <t>Hadley Rios</t>
  </si>
  <si>
    <t>E02635</t>
  </si>
  <si>
    <t>Luna Chang</t>
  </si>
  <si>
    <t>E02636</t>
  </si>
  <si>
    <t>Mia Navarro</t>
  </si>
  <si>
    <t>E02637</t>
  </si>
  <si>
    <t>Nova Rios</t>
  </si>
  <si>
    <t>E02638</t>
  </si>
  <si>
    <t>Theodore Truong</t>
  </si>
  <si>
    <t>E02639</t>
  </si>
  <si>
    <t>Asher Ly</t>
  </si>
  <si>
    <t>E02640</t>
  </si>
  <si>
    <t>Madeline Doan</t>
  </si>
  <si>
    <t>E02641</t>
  </si>
  <si>
    <t>Scarlett Rodriguez</t>
  </si>
  <si>
    <t>E02642</t>
  </si>
  <si>
    <t>Zoey Lu</t>
  </si>
  <si>
    <t>E02643</t>
  </si>
  <si>
    <t>Mila Cheung</t>
  </si>
  <si>
    <t>E02644</t>
  </si>
  <si>
    <t>Lucy Mai</t>
  </si>
  <si>
    <t>E02645</t>
  </si>
  <si>
    <t>Benjamin Luu</t>
  </si>
  <si>
    <t>E02646</t>
  </si>
  <si>
    <t>E02647</t>
  </si>
  <si>
    <t>Maya Watson</t>
  </si>
  <si>
    <t>E02648</t>
  </si>
  <si>
    <t>Jack Adams</t>
  </si>
  <si>
    <t>E02649</t>
  </si>
  <si>
    <t>Gabriella Jordan</t>
  </si>
  <si>
    <t>E02650</t>
  </si>
  <si>
    <t>Jonathan Torres</t>
  </si>
  <si>
    <t>E02651</t>
  </si>
  <si>
    <t>Samuel Xu</t>
  </si>
  <si>
    <t>E02652</t>
  </si>
  <si>
    <t>Ezekiel Lai</t>
  </si>
  <si>
    <t>E02653</t>
  </si>
  <si>
    <t>Levi Rahman</t>
  </si>
  <si>
    <t>E02654</t>
  </si>
  <si>
    <t>Madison Phan</t>
  </si>
  <si>
    <t>E02655</t>
  </si>
  <si>
    <t>Andrew Pham</t>
  </si>
  <si>
    <t>E02656</t>
  </si>
  <si>
    <t>Clara Ford</t>
  </si>
  <si>
    <t>E02657</t>
  </si>
  <si>
    <t>Christopher Chau</t>
  </si>
  <si>
    <t>E02658</t>
  </si>
  <si>
    <t>Madeline Guerrero</t>
  </si>
  <si>
    <t>E02659</t>
  </si>
  <si>
    <t>Harper Yee</t>
  </si>
  <si>
    <t>E02660</t>
  </si>
  <si>
    <t>Mia Thomas</t>
  </si>
  <si>
    <t>E02661</t>
  </si>
  <si>
    <t>Owen Nelson</t>
  </si>
  <si>
    <t>E02662</t>
  </si>
  <si>
    <t>Aiden Evans</t>
  </si>
  <si>
    <t>E02663</t>
  </si>
  <si>
    <t>Josiah Lai</t>
  </si>
  <si>
    <t>E02664</t>
  </si>
  <si>
    <t>Jameson Yee</t>
  </si>
  <si>
    <t>E02665</t>
  </si>
  <si>
    <t>Serenity Her</t>
  </si>
  <si>
    <t>E02666</t>
  </si>
  <si>
    <t>Ariana Turner</t>
  </si>
  <si>
    <t>E02667</t>
  </si>
  <si>
    <t>Jacob Cooper</t>
  </si>
  <si>
    <t>E02668</t>
  </si>
  <si>
    <t>Christopher Dominguez</t>
  </si>
  <si>
    <t>E02669</t>
  </si>
  <si>
    <t>Nevaeh Lim</t>
  </si>
  <si>
    <t>E02670</t>
  </si>
  <si>
    <t>Dominic Cheng</t>
  </si>
  <si>
    <t>E02671</t>
  </si>
  <si>
    <t>Serenity Rodriguez</t>
  </si>
  <si>
    <t>E02672</t>
  </si>
  <si>
    <t>Caleb Thompson</t>
  </si>
  <si>
    <t>E02673</t>
  </si>
  <si>
    <t>Luke Avila</t>
  </si>
  <si>
    <t>E02674</t>
  </si>
  <si>
    <t>Sadie Chin</t>
  </si>
  <si>
    <t>E02675</t>
  </si>
  <si>
    <t>Everett Le</t>
  </si>
  <si>
    <t>E02676</t>
  </si>
  <si>
    <t>Carson Santos</t>
  </si>
  <si>
    <t>E02677</t>
  </si>
  <si>
    <t>Natalie Ho</t>
  </si>
  <si>
    <t>E02678</t>
  </si>
  <si>
    <t>Natalia Hall</t>
  </si>
  <si>
    <t>E02679</t>
  </si>
  <si>
    <t>Zoey Ahmed</t>
  </si>
  <si>
    <t>E02680</t>
  </si>
  <si>
    <t>Santiago f Turner</t>
  </si>
  <si>
    <t>E02681</t>
  </si>
  <si>
    <t>Jacob Alexander</t>
  </si>
  <si>
    <t>E02682</t>
  </si>
  <si>
    <t>Christopher Aguilar</t>
  </si>
  <si>
    <t>E02683</t>
  </si>
  <si>
    <t>Vivian Jackson</t>
  </si>
  <si>
    <t>E02684</t>
  </si>
  <si>
    <t>Leonardo Jenkins</t>
  </si>
  <si>
    <t>E02685</t>
  </si>
  <si>
    <t>Oliver Hunter</t>
  </si>
  <si>
    <t>E02686</t>
  </si>
  <si>
    <t>Ayla Brooks</t>
  </si>
  <si>
    <t>E02687</t>
  </si>
  <si>
    <t>Willow Chau</t>
  </si>
  <si>
    <t>E02688</t>
  </si>
  <si>
    <t>Kai Shin</t>
  </si>
  <si>
    <t>E02689</t>
  </si>
  <si>
    <t>Liliana Zhao</t>
  </si>
  <si>
    <t>E02690</t>
  </si>
  <si>
    <t>Aiden Carter</t>
  </si>
  <si>
    <t>E02691</t>
  </si>
  <si>
    <t>Christopher Song</t>
  </si>
  <si>
    <t>E02692</t>
  </si>
  <si>
    <t>Charles Luu</t>
  </si>
  <si>
    <t>E02693</t>
  </si>
  <si>
    <t>Kayden Dinh</t>
  </si>
  <si>
    <t>E02694</t>
  </si>
  <si>
    <t>Valentina Zhang</t>
  </si>
  <si>
    <t>E02695</t>
  </si>
  <si>
    <t>Alexander Perez</t>
  </si>
  <si>
    <t>E02696</t>
  </si>
  <si>
    <t>Everleigh Kumar</t>
  </si>
  <si>
    <t>E02697</t>
  </si>
  <si>
    <t>Santiago f Xiong</t>
  </si>
  <si>
    <t>E02698</t>
  </si>
  <si>
    <t>Elizabeth Powell</t>
  </si>
  <si>
    <t>E02699</t>
  </si>
  <si>
    <t>Lucas Yang</t>
  </si>
  <si>
    <t>E02700</t>
  </si>
  <si>
    <t>John Richardson</t>
  </si>
  <si>
    <t>E02701</t>
  </si>
  <si>
    <t>Miles Ross</t>
  </si>
  <si>
    <t>E02702</t>
  </si>
  <si>
    <t>Jonathan Santos</t>
  </si>
  <si>
    <t>E02703</t>
  </si>
  <si>
    <t>Joshua Maldonado</t>
  </si>
  <si>
    <t>E02704</t>
  </si>
  <si>
    <t>Santiago f Vo</t>
  </si>
  <si>
    <t>E02705</t>
  </si>
  <si>
    <t>Leilani Martin</t>
  </si>
  <si>
    <t>E02706</t>
  </si>
  <si>
    <t>Luca Xiong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</si>
  <si>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</si>
  <si>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</si>
  <si>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</si>
  <si>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</si>
  <si>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</si>
  <si>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</si>
  <si>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</si>
  <si>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</si>
  <si>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</si>
  <si>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</si>
  <si>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</si>
  <si>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</si>
  <si>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E02713</t>
  </si>
  <si>
    <t>Caroline Robinson</t>
  </si>
  <si>
    <t>E02714</t>
  </si>
  <si>
    <t>Naomi Ma</t>
  </si>
  <si>
    <t>E02715</t>
  </si>
  <si>
    <t>Adam Davis</t>
  </si>
  <si>
    <t>E02716</t>
  </si>
  <si>
    <t>Ellie Ho</t>
  </si>
  <si>
    <t>E02717</t>
  </si>
  <si>
    <t>Mila Liang</t>
  </si>
  <si>
    <t>E02718</t>
  </si>
  <si>
    <t>Nova Doan</t>
  </si>
  <si>
    <t>E02719</t>
  </si>
  <si>
    <t>Colton Mejia</t>
  </si>
  <si>
    <t>E02720</t>
  </si>
  <si>
    <t>Joseph Kim</t>
  </si>
  <si>
    <t>E02721</t>
  </si>
  <si>
    <t>Audrey Campos</t>
  </si>
  <si>
    <t>E02722</t>
  </si>
  <si>
    <t>Vivian Brooks</t>
  </si>
  <si>
    <t>E02723</t>
  </si>
  <si>
    <t>Mateo Vargas</t>
  </si>
  <si>
    <t>E02724</t>
  </si>
  <si>
    <t>David Foster</t>
  </si>
  <si>
    <t>E02725</t>
  </si>
  <si>
    <t>Isaiah Ramos</t>
  </si>
  <si>
    <t>E02726</t>
  </si>
  <si>
    <t>Samantha Do</t>
  </si>
  <si>
    <t>E02727</t>
  </si>
  <si>
    <t>Emery Fernandez</t>
  </si>
  <si>
    <t>E02728</t>
  </si>
  <si>
    <t>Santiago f Brooks</t>
  </si>
  <si>
    <t>E02729</t>
  </si>
  <si>
    <t>Aubrey Lin</t>
  </si>
  <si>
    <t>E02730</t>
  </si>
  <si>
    <t>Jace Hsu</t>
  </si>
  <si>
    <t>E02731</t>
  </si>
  <si>
    <t>Nicholas Sanders</t>
  </si>
  <si>
    <t>E02732</t>
  </si>
  <si>
    <t>Joshua Sun</t>
  </si>
  <si>
    <t>E02733</t>
  </si>
  <si>
    <t>Riley Ayala</t>
  </si>
  <si>
    <t>E02734</t>
  </si>
  <si>
    <t>Isaac Santos</t>
  </si>
  <si>
    <t>E02735</t>
  </si>
  <si>
    <t>Logan Brooks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</si>
  <si>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</si>
  <si>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</si>
  <si>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</si>
  <si>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</si>
  <si>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</si>
  <si>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</si>
  <si>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</si>
  <si>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</si>
  <si>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E02740</t>
  </si>
  <si>
    <t>Mia Huang</t>
  </si>
  <si>
    <t>E02741</t>
  </si>
  <si>
    <t>Levi Her</t>
  </si>
  <si>
    <t>E02742</t>
  </si>
  <si>
    <t>Everleigh Phillips</t>
  </si>
  <si>
    <t>E02743</t>
  </si>
  <si>
    <t>Natalie Acosta</t>
  </si>
  <si>
    <t>E02744</t>
  </si>
  <si>
    <t>Hadley Chavez</t>
  </si>
  <si>
    <t>E02745</t>
  </si>
  <si>
    <t>Hailey Liu</t>
  </si>
  <si>
    <t>E02746</t>
  </si>
  <si>
    <t>Nicholas Jiang</t>
  </si>
  <si>
    <t>E02747</t>
  </si>
  <si>
    <t>Gabriel Xu</t>
  </si>
  <si>
    <t>E02748</t>
  </si>
  <si>
    <t>Sophia Collins</t>
  </si>
  <si>
    <t>E02749</t>
  </si>
  <si>
    <t>Evelyn Vasquez</t>
  </si>
  <si>
    <t>E02750</t>
  </si>
  <si>
    <t>Paisley Baker</t>
  </si>
  <si>
    <t>E02751</t>
  </si>
  <si>
    <t>Eloise Griffin</t>
  </si>
  <si>
    <t>E02752</t>
  </si>
  <si>
    <t>Samuel Cruz</t>
  </si>
  <si>
    <t>E02753</t>
  </si>
  <si>
    <t>Gabriel Cheung</t>
  </si>
  <si>
    <t>E02754</t>
  </si>
  <si>
    <t>Kai Green</t>
  </si>
  <si>
    <t>E02755</t>
  </si>
  <si>
    <t>Julia Moore</t>
  </si>
  <si>
    <t>E02756</t>
  </si>
  <si>
    <t>Roman Mendoza</t>
  </si>
  <si>
    <t>E02757</t>
  </si>
  <si>
    <t>E02758</t>
  </si>
  <si>
    <t>Sadie Pham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</si>
  <si>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</si>
  <si>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</si>
  <si>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</si>
  <si>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</si>
  <si>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</si>
  <si>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</si>
  <si>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</si>
  <si>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</si>
  <si>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E02763</t>
  </si>
  <si>
    <t>Isaiah Vang</t>
  </si>
  <si>
    <t>E02764</t>
  </si>
  <si>
    <t>Lincoln Alvarado</t>
  </si>
  <si>
    <t>E02765</t>
  </si>
  <si>
    <t>Carter Sandoval</t>
  </si>
  <si>
    <t>E02766</t>
  </si>
  <si>
    <t>Julia Jimenez</t>
  </si>
  <si>
    <t>E02767</t>
  </si>
  <si>
    <t>Savannah Cortez</t>
  </si>
  <si>
    <t>E02768</t>
  </si>
  <si>
    <t>Everly Brown</t>
  </si>
  <si>
    <t>E02769</t>
  </si>
  <si>
    <t>Charlotte Pham</t>
  </si>
  <si>
    <t>E02770</t>
  </si>
  <si>
    <t>Iris Bailey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</si>
  <si>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</si>
  <si>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</si>
  <si>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</si>
  <si>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</si>
  <si>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</si>
  <si>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</si>
  <si>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</si>
  <si>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</si>
  <si>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E02775</t>
  </si>
  <si>
    <t>Eleanor Munoz</t>
  </si>
  <si>
    <t>E02776</t>
  </si>
  <si>
    <t>E02777</t>
  </si>
  <si>
    <t>Eliza Zhu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</si>
  <si>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</si>
  <si>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</si>
  <si>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</si>
  <si>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</si>
  <si>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</si>
  <si>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</si>
  <si>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</si>
  <si>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</si>
  <si>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E02782</t>
  </si>
  <si>
    <t>Landon Munoz</t>
  </si>
  <si>
    <t>E02783</t>
  </si>
  <si>
    <t>Josiah Yi</t>
  </si>
  <si>
    <t>E02784</t>
  </si>
  <si>
    <t>Owen Scott</t>
  </si>
  <si>
    <t>E02785</t>
  </si>
  <si>
    <t>Matthew Parker</t>
  </si>
  <si>
    <t>E02786</t>
  </si>
  <si>
    <t>Daniel Huynh</t>
  </si>
  <si>
    <t>E02787</t>
  </si>
  <si>
    <t>Matthew Vargas</t>
  </si>
  <si>
    <t>E02788</t>
  </si>
  <si>
    <t>Ella Herrera</t>
  </si>
  <si>
    <t>E02789</t>
  </si>
  <si>
    <t>Everly Hwang</t>
  </si>
  <si>
    <t>E02790</t>
  </si>
  <si>
    <t>E02791</t>
  </si>
  <si>
    <t>Ian Hernandez</t>
  </si>
  <si>
    <t>E02792</t>
  </si>
  <si>
    <t>Charlotte Lam</t>
  </si>
  <si>
    <t>E02793</t>
  </si>
  <si>
    <t>Jonathan Ali</t>
  </si>
  <si>
    <t>E02794</t>
  </si>
  <si>
    <t>Violet He</t>
  </si>
  <si>
    <t>E02795</t>
  </si>
  <si>
    <t>Hannah Truong</t>
  </si>
  <si>
    <t>E02796</t>
  </si>
  <si>
    <t>Hannah Nelson</t>
  </si>
  <si>
    <t>E02797</t>
  </si>
  <si>
    <t>Autumn Kaur</t>
  </si>
  <si>
    <t>E02798</t>
  </si>
  <si>
    <t>E02799</t>
  </si>
  <si>
    <t>E02800</t>
  </si>
  <si>
    <t>Jameson Salazar</t>
  </si>
  <si>
    <t>E02801</t>
  </si>
  <si>
    <t>E02802</t>
  </si>
  <si>
    <t>Hunter Moua</t>
  </si>
  <si>
    <t>E02803</t>
  </si>
  <si>
    <t>Athena Aguilar</t>
  </si>
  <si>
    <t>E02804</t>
  </si>
  <si>
    <t>Ariana Sanders</t>
  </si>
  <si>
    <t>E02805</t>
  </si>
  <si>
    <t>Easton Cruz</t>
  </si>
  <si>
    <t>E02806</t>
  </si>
  <si>
    <t>Josiah Vega</t>
  </si>
  <si>
    <t>E02807</t>
  </si>
  <si>
    <t>Isla Chavez</t>
  </si>
  <si>
    <t>E02808</t>
  </si>
  <si>
    <t>Willow Estrada</t>
  </si>
  <si>
    <t>E02809</t>
  </si>
  <si>
    <t>Nevaeh Ng</t>
  </si>
  <si>
    <t>E02810</t>
  </si>
  <si>
    <t>E02811</t>
  </si>
  <si>
    <t>Henry Vazquez</t>
  </si>
  <si>
    <t>E02812</t>
  </si>
  <si>
    <t>Nathan Jackson</t>
  </si>
  <si>
    <t>E02813</t>
  </si>
  <si>
    <t>Anthony Lam</t>
  </si>
  <si>
    <t>E02814</t>
  </si>
  <si>
    <t>Nevaeh Ali</t>
  </si>
  <si>
    <t>E02815</t>
  </si>
  <si>
    <t>Mila Vasquez</t>
  </si>
  <si>
    <t>E02816</t>
  </si>
  <si>
    <t>Madelyn Henry</t>
  </si>
  <si>
    <t>E02817</t>
  </si>
  <si>
    <t>Emilia Alexander</t>
  </si>
  <si>
    <t>E02818</t>
  </si>
  <si>
    <t>Christian Ayala</t>
  </si>
  <si>
    <t>E02819</t>
  </si>
  <si>
    <t>Willow Xiong</t>
  </si>
  <si>
    <t>E02820</t>
  </si>
  <si>
    <t>Avery Valdez</t>
  </si>
  <si>
    <t>E02821</t>
  </si>
  <si>
    <t>Abigail Carter</t>
  </si>
  <si>
    <t>Madison Patel</t>
  </si>
  <si>
    <t>E02823</t>
  </si>
  <si>
    <t>E02824</t>
  </si>
  <si>
    <t>Kinsley Hill</t>
  </si>
  <si>
    <t>E02825</t>
  </si>
  <si>
    <t>Kai Barnes</t>
  </si>
  <si>
    <t>E02826</t>
  </si>
  <si>
    <t>Lincoln Cheng</t>
  </si>
  <si>
    <t>E02827</t>
  </si>
  <si>
    <t>Noah Sharma</t>
  </si>
  <si>
    <t>E02828</t>
  </si>
  <si>
    <t>E02829</t>
  </si>
  <si>
    <t>Ariana Hall</t>
  </si>
  <si>
    <t>E02830</t>
  </si>
  <si>
    <t>E02832</t>
  </si>
  <si>
    <t>Kinsley Gonzalez</t>
  </si>
  <si>
    <t>E02833</t>
  </si>
  <si>
    <t>Dominic Tang</t>
  </si>
  <si>
    <t>E02834</t>
  </si>
  <si>
    <t>Colton Le</t>
  </si>
  <si>
    <t>E02835</t>
  </si>
  <si>
    <t>Kai Huang</t>
  </si>
  <si>
    <t>E02836</t>
  </si>
  <si>
    <t>Addison Cruz</t>
  </si>
  <si>
    <t>E02837</t>
  </si>
  <si>
    <t>E02838</t>
  </si>
  <si>
    <t>Maria Barnes</t>
  </si>
  <si>
    <t>E02839</t>
  </si>
  <si>
    <t>E02840</t>
  </si>
  <si>
    <t>Mia Vang</t>
  </si>
  <si>
    <t>E02841</t>
  </si>
  <si>
    <t>Parker Desai</t>
  </si>
  <si>
    <t>E02843</t>
  </si>
  <si>
    <t>E02844</t>
  </si>
  <si>
    <t>Adam Jordan</t>
  </si>
  <si>
    <t>E02845</t>
  </si>
  <si>
    <t>Leah Stewart</t>
  </si>
  <si>
    <t>E02846</t>
  </si>
  <si>
    <t>Robert Santos</t>
  </si>
  <si>
    <t>E02847</t>
  </si>
  <si>
    <t>Addison Ma</t>
  </si>
  <si>
    <t>E02848</t>
  </si>
  <si>
    <t>Clara Collins</t>
  </si>
  <si>
    <t>E02849</t>
  </si>
  <si>
    <t>Stella Castro</t>
  </si>
  <si>
    <t>E02850</t>
  </si>
  <si>
    <t>Lucy Chin</t>
  </si>
  <si>
    <t>E02851</t>
  </si>
  <si>
    <t>Piper Evans</t>
  </si>
  <si>
    <t>E02852</t>
  </si>
  <si>
    <t>Cora Coleman</t>
  </si>
  <si>
    <t>E02853</t>
  </si>
  <si>
    <t>Cora Holmes</t>
  </si>
  <si>
    <t>E02854</t>
  </si>
  <si>
    <t>Leo Figueroa</t>
  </si>
  <si>
    <t>E02855</t>
  </si>
  <si>
    <t>Allison Wang</t>
  </si>
  <si>
    <t>E02856</t>
  </si>
  <si>
    <t>Levi Cruz</t>
  </si>
  <si>
    <t>E02857</t>
  </si>
  <si>
    <t>Iris Phillips</t>
  </si>
  <si>
    <t>E02858</t>
  </si>
  <si>
    <t>Madelyn Chavez</t>
  </si>
  <si>
    <t>E02859</t>
  </si>
  <si>
    <t>Caroline Smith</t>
  </si>
  <si>
    <t>E02860</t>
  </si>
  <si>
    <t>Grayson Lai</t>
  </si>
  <si>
    <t>E02861</t>
  </si>
  <si>
    <t>Anna Guerrero</t>
  </si>
  <si>
    <t>E02862</t>
  </si>
  <si>
    <t>Paisley Bell</t>
  </si>
  <si>
    <t>E02863</t>
  </si>
  <si>
    <t>Jose Park</t>
  </si>
  <si>
    <t>E02864</t>
  </si>
  <si>
    <t>Eliza Parker</t>
  </si>
  <si>
    <t>E02865</t>
  </si>
  <si>
    <t>E02866</t>
  </si>
  <si>
    <t>Melody Yoon</t>
  </si>
  <si>
    <t>E02867</t>
  </si>
  <si>
    <t>Avery Smith</t>
  </si>
  <si>
    <t>E02868</t>
  </si>
  <si>
    <t>Madeline Vu</t>
  </si>
  <si>
    <t>E02869</t>
  </si>
  <si>
    <t>Aubrey Cheng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</si>
  <si>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</si>
  <si>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</si>
  <si>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</si>
  <si>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</si>
  <si>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</si>
  <si>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</si>
  <si>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</si>
  <si>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</si>
  <si>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E02874</t>
  </si>
  <si>
    <t>Samantha Chau</t>
  </si>
  <si>
    <t>E02875</t>
  </si>
  <si>
    <t>Charles Robinson</t>
  </si>
  <si>
    <t>E02876</t>
  </si>
  <si>
    <t>Jonathan Nelson</t>
  </si>
  <si>
    <t>E02877</t>
  </si>
  <si>
    <t>Liliana Simmons</t>
  </si>
  <si>
    <t>E02878</t>
  </si>
  <si>
    <t>Logan Ortega</t>
  </si>
  <si>
    <t>E02879</t>
  </si>
  <si>
    <t>Isaac Jung</t>
  </si>
  <si>
    <t>E02880</t>
  </si>
  <si>
    <t>E02881</t>
  </si>
  <si>
    <t>Levi Gonzalez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</si>
  <si>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</si>
  <si>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</si>
  <si>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</si>
  <si>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</si>
  <si>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</si>
  <si>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</si>
  <si>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</si>
  <si>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</si>
  <si>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</si>
  <si>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</si>
  <si>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</si>
  <si>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</si>
  <si>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E02888</t>
  </si>
  <si>
    <t>Kayden Tang</t>
  </si>
  <si>
    <t>E02889</t>
  </si>
  <si>
    <t>Hadley Parker</t>
  </si>
  <si>
    <t>E02890</t>
  </si>
  <si>
    <t>Elizabeth Estrada</t>
  </si>
  <si>
    <t>E02891</t>
  </si>
  <si>
    <t>Sofia Yee</t>
  </si>
  <si>
    <t>E02892</t>
  </si>
  <si>
    <t>Asher Mendoza</t>
  </si>
  <si>
    <t>E02893</t>
  </si>
  <si>
    <t>Jordan Hernandez</t>
  </si>
  <si>
    <t>E02894</t>
  </si>
  <si>
    <t>Everleigh Tan</t>
  </si>
  <si>
    <t>E02895</t>
  </si>
  <si>
    <t>Joshua Hall</t>
  </si>
  <si>
    <t>E02896</t>
  </si>
  <si>
    <t>Stella Gupta</t>
  </si>
  <si>
    <t>E02897</t>
  </si>
  <si>
    <t>Levi White</t>
  </si>
  <si>
    <t>E02898</t>
  </si>
  <si>
    <t>Matthew Jackson</t>
  </si>
  <si>
    <t>E02899</t>
  </si>
  <si>
    <t>Dominic Martinez</t>
  </si>
  <si>
    <t>E02900</t>
  </si>
  <si>
    <t>Aiden Aguilar</t>
  </si>
  <si>
    <t>E02901</t>
  </si>
  <si>
    <t>Victoria Hu</t>
  </si>
  <si>
    <t>E02902</t>
  </si>
  <si>
    <t>Eloise Campos</t>
  </si>
  <si>
    <t>E02903</t>
  </si>
  <si>
    <t>Emilia Alvarado</t>
  </si>
  <si>
    <t>E02904</t>
  </si>
  <si>
    <t>Lydia Ahmed</t>
  </si>
  <si>
    <t>E02905</t>
  </si>
  <si>
    <t>Dylan Simmons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</si>
  <si>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</si>
  <si>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</si>
  <si>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</si>
  <si>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</si>
  <si>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</si>
  <si>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</si>
  <si>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</si>
  <si>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</si>
  <si>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E02910</t>
  </si>
  <si>
    <t>Emery Flores</t>
  </si>
  <si>
    <t>E02911</t>
  </si>
  <si>
    <t>Gabriella Wong</t>
  </si>
  <si>
    <t>E02912</t>
  </si>
  <si>
    <t>Ian Gonzales</t>
  </si>
  <si>
    <t>E02913</t>
  </si>
  <si>
    <t>Jaxon Wright</t>
  </si>
  <si>
    <t>E02914</t>
  </si>
  <si>
    <t>Ethan Cruz</t>
  </si>
  <si>
    <t>E02915</t>
  </si>
  <si>
    <t>Adrian James</t>
  </si>
  <si>
    <t>E02916</t>
  </si>
  <si>
    <t>Isabella Mejia</t>
  </si>
  <si>
    <t>E02917</t>
  </si>
  <si>
    <t>Christopher Miller</t>
  </si>
  <si>
    <t>E02918</t>
  </si>
  <si>
    <t>Samuel Watson</t>
  </si>
  <si>
    <t>E02919</t>
  </si>
  <si>
    <t>Lucy Phan</t>
  </si>
  <si>
    <t>E02920</t>
  </si>
  <si>
    <t>Dominic Thao</t>
  </si>
  <si>
    <t>E02921</t>
  </si>
  <si>
    <t>Jaxon Shin</t>
  </si>
  <si>
    <t>E02922</t>
  </si>
  <si>
    <t>Nevaeh Diaz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</si>
  <si>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</si>
  <si>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</si>
  <si>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</si>
  <si>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</si>
  <si>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</si>
  <si>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</si>
  <si>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</si>
  <si>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</si>
  <si>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</si>
  <si>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</si>
  <si>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</si>
  <si>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</si>
  <si>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</si>
  <si>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Everleigh Castillo</t>
  </si>
  <si>
    <t>E02936</t>
  </si>
  <si>
    <t>Valentina Fernandez</t>
  </si>
  <si>
    <t>E02937</t>
  </si>
  <si>
    <t>Serenity Richardson</t>
  </si>
  <si>
    <t>E02938</t>
  </si>
  <si>
    <t>Cooper Ramirez</t>
  </si>
  <si>
    <t>E02939</t>
  </si>
  <si>
    <t>Penelope Avila</t>
  </si>
  <si>
    <t>E02940</t>
  </si>
  <si>
    <t>David Barnes</t>
  </si>
  <si>
    <t>E02941</t>
  </si>
  <si>
    <t>Ivy Luong</t>
  </si>
  <si>
    <t>E02942</t>
  </si>
  <si>
    <t>Aurora Bailey</t>
  </si>
  <si>
    <t>Valentina Valdez</t>
  </si>
  <si>
    <t>Parker Dinh</t>
  </si>
  <si>
    <t>Eliana Hsu</t>
  </si>
  <si>
    <t>Logan Parker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</si>
  <si>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</si>
  <si>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</si>
  <si>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</si>
  <si>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</si>
  <si>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</si>
  <si>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</si>
  <si>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</si>
  <si>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</si>
  <si>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E02951</t>
  </si>
  <si>
    <t>Isla Singh</t>
  </si>
  <si>
    <t>E02952</t>
  </si>
  <si>
    <t>Emma Yu</t>
  </si>
  <si>
    <t>E02953</t>
  </si>
  <si>
    <t>E02954</t>
  </si>
  <si>
    <t>E02955</t>
  </si>
  <si>
    <t>E02956</t>
  </si>
  <si>
    <t>E02957</t>
  </si>
  <si>
    <t>E02958</t>
  </si>
  <si>
    <t>E02959</t>
  </si>
  <si>
    <t>Brooks Ngo</t>
  </si>
  <si>
    <t>E02962</t>
  </si>
  <si>
    <t>Piper Oh</t>
  </si>
  <si>
    <t>E02963</t>
  </si>
  <si>
    <t>Hunter Molina</t>
  </si>
  <si>
    <t>E02964</t>
  </si>
  <si>
    <t>Michael Hoang</t>
  </si>
  <si>
    <t>E02965</t>
  </si>
  <si>
    <t>Eloise Sun</t>
  </si>
  <si>
    <t>E02966</t>
  </si>
  <si>
    <t>Gianna Jimenez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</si>
  <si>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</si>
  <si>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</si>
  <si>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</si>
  <si>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</si>
  <si>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</si>
  <si>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</si>
  <si>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</si>
  <si>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</si>
  <si>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E02971</t>
  </si>
  <si>
    <t>Hailey Henderson</t>
  </si>
  <si>
    <t>E02972</t>
  </si>
  <si>
    <t>Austin Espinoza</t>
  </si>
  <si>
    <t>E02973</t>
  </si>
  <si>
    <t>Delilah Ng</t>
  </si>
  <si>
    <t>E02974</t>
  </si>
  <si>
    <t>Gabriella Han</t>
  </si>
  <si>
    <t>E02975</t>
  </si>
  <si>
    <t>Aria Miller</t>
  </si>
  <si>
    <t>Sofia Dixon</t>
  </si>
  <si>
    <t>Ethan Xiong</t>
  </si>
  <si>
    <t>Gabriella Cruz</t>
  </si>
  <si>
    <t>E02979</t>
  </si>
  <si>
    <t>E02980</t>
  </si>
  <si>
    <t>Colton Bui</t>
  </si>
  <si>
    <t>E02984</t>
  </si>
  <si>
    <t>Logan Rahman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</si>
  <si>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</si>
  <si>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</si>
  <si>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</si>
  <si>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</si>
  <si>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</si>
  <si>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</si>
  <si>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</si>
  <si>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</si>
  <si>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</si>
  <si>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</si>
  <si>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</si>
  <si>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</si>
  <si>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E02993</t>
  </si>
  <si>
    <t>Miles Liu</t>
  </si>
  <si>
    <t>E02994</t>
  </si>
  <si>
    <t>Violet Duong</t>
  </si>
  <si>
    <t>E02995</t>
  </si>
  <si>
    <t>Isaac Xiong</t>
  </si>
  <si>
    <t>E02996</t>
  </si>
  <si>
    <t>Ian Le</t>
  </si>
  <si>
    <t>E02997</t>
  </si>
  <si>
    <t>Melody Delgado</t>
  </si>
  <si>
    <t>E02998</t>
  </si>
  <si>
    <t>Eliza Bui</t>
  </si>
  <si>
    <t>E02999</t>
  </si>
  <si>
    <t>Layla Wu</t>
  </si>
  <si>
    <t>E03000</t>
  </si>
  <si>
    <t>Thomas Lam</t>
  </si>
  <si>
    <t>E03001</t>
  </si>
  <si>
    <t>Willow Taylor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</si>
  <si>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</si>
  <si>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</si>
  <si>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</si>
  <si>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</si>
  <si>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</si>
  <si>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</si>
  <si>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</si>
  <si>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</si>
  <si>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</si>
  <si>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</si>
  <si>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</si>
  <si>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Everleigh Coleman</t>
  </si>
  <si>
    <t>Christopher Desai</t>
  </si>
  <si>
    <t>Gross salary</t>
  </si>
  <si>
    <t>Basic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</si>
</sst>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7" formatCode="&quot;$&quot;#,##0.0_);[Red]\(&quot;$&quot;#,##0.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9">
    <dxf>
      <numFmt numFmtId="167" formatCode="&quot;$&quot;#,##0.0_);[Red]\(&quot;$&quot;#,##0.0\)"/>
    </dxf>
    <dxf>
      <numFmt numFmtId="10" formatCode="&quot;$&quot;#,##0_);[Red]\(&quot;$&quot;#,##0\)"/>
    </dxf>
    <dxf>
      <numFmt numFmtId="10" formatCode="&quot;$&quot;#,##0_);[Red]\(&quot;$&quot;#,##0\)"/>
    </dxf>
    <dxf>
      <numFmt numFmtId="167" formatCode="&quot;$&quot;#,##0.0_);[Red]\(&quot;$&quot;#,##0.0\)"/>
    </dxf>
    <dxf>
      <numFmt numFmtId="10" formatCode="&quot;$&quot;#,##0_);[Red]\(&quot;$&quot;#,##0\)"/>
    </dxf>
    <dxf>
      <numFmt numFmtId="10" formatCode="&quot;$&quot;#,##0_);[Red]\(&quot;$&quot;#,##0\)"/>
    </dxf>
    <dxf>
      <numFmt numFmtId="13" formatCode="0%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A8737-AB96-4DFD-9FD4-15CCB1CA1E80}" name="Employee_Data" displayName="Employee_Data" ref="A1:S1128" totalsRowShown="0">
  <autoFilter ref="A1:S1128" xr:uid="{A99A8737-AB96-4DFD-9FD4-15CCB1CA1E80}"/>
  <tableColumns count="19">
    <tableColumn id="1" xr3:uid="{00795F83-FD0C-441C-A093-6B377EA94DD9}" name="Employee ID"/>
    <tableColumn id="2" xr3:uid="{5E8C224A-0D95-44D6-BA1D-CF3097239740}" name="Full Name"/>
    <tableColumn id="3" xr3:uid="{A734A870-2D3A-425E-A005-5CB256F3B3A1}" name="Job Title"/>
    <tableColumn id="4" xr3:uid="{70CF753F-BF6B-4953-94F4-FD7E93F9DBE8}" name="Department"/>
    <tableColumn id="5" xr3:uid="{AB7D6878-E45B-4B52-9C48-7C38AD53CA6E}" name="Business Unit"/>
    <tableColumn id="6" xr3:uid="{B62DD2B8-D186-44FE-A16C-84D585E7BC43}" name="Gender"/>
    <tableColumn id="7" xr3:uid="{C0527591-F2BD-4AEE-AEBD-50A7AFFC385E}" name="Ethnicity"/>
    <tableColumn id="8" xr3:uid="{0EE1E277-9081-4A6A-AB0D-3660C2DBDB6A}" name="Age"/>
    <tableColumn id="9" xr3:uid="{621FBCF9-619A-404A-AD9D-C6887D3542CA}" name="Hire Date" dataDxfId="8"/>
    <tableColumn id="10" xr3:uid="{609BC725-11B5-4692-94B8-C36C9958C19F}" name="Annual Salary" dataDxfId="7"/>
    <tableColumn id="11" xr3:uid="{45F14942-1682-4AA8-B917-3513ED0DAE74}" name="Bonus %" dataDxfId="6"/>
    <tableColumn id="12" xr3:uid="{62C371FB-1B20-4A2B-BF1B-B56026D4A642}" name="Country"/>
    <tableColumn id="13" xr3:uid="{7F7A6E7C-1316-456C-9615-C308ACF7DF2B}" name="City"/>
    <tableColumn id="14" xr3:uid="{6147DEC9-E0B3-4952-8FF5-86ACAADACF7B}" name="HRA" dataDxfId="4">
      <calculatedColumnFormula>Employee_Data[[#This Row],[Basic Salary]]*10%</calculatedColumnFormula>
    </tableColumn>
    <tableColumn id="15" xr3:uid="{F7A470E1-C71A-4750-AF7C-37CC02F57A9F}" name="MA" dataDxfId="3">
      <calculatedColumnFormula>Employee_Data[[#This Row],[Basic Salary]]*7.5%</calculatedColumnFormula>
    </tableColumn>
    <tableColumn id="16" xr3:uid="{34C3F548-AFEE-40E3-96F3-91F736690ADF}" name="TA" dataDxfId="2">
      <calculatedColumnFormula>Employee_Data[[#This Row],[Basic Salary]]*3%</calculatedColumnFormula>
    </tableColumn>
    <tableColumn id="17" xr3:uid="{472B02AE-BDEA-4916-B0B7-F2E8570D590C}" name="Gross salary" dataDxfId="1">
      <calculatedColumnFormula>SUM(Employee_Data[[#This Row],[Basic Salary]],Employee_Data[[#This Row],[HRA]],Employee_Data[[#This Row],[MA]],Employee_Data[[#This Row],[TA]])</calculatedColumnFormula>
    </tableColumn>
    <tableColumn id="18" xr3:uid="{62074FD8-4FB9-40E4-9A0F-5D8F1B965B9B}" name="PF" dataDxfId="0">
      <calculatedColumnFormula>Employee_Data[[#This Row],[Basic Salary]]*12.5%</calculatedColumnFormula>
    </tableColumn>
    <tableColumn id="21" xr3:uid="{80D718C4-CD12-41D5-9B22-E34662464391}" name="Basic Salary" dataDxfId="5">
      <calculatedColumnFormula>Employee_Data[[#This Row],[Annual Salary]]/12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E359-738B-40C1-81FE-E341F87A8028}">
  <dimension ref="A1:S1262"/>
  <sheetViews>
    <sheetView tabSelected="1" topLeftCell="D1" workbookViewId="0">
      <selection activeCell="R3" sqref="R3"/>
    </sheetView>
  </sheetViews>
  <sheetFormatPr defaultRowHeight="14.4" x14ac:dyDescent="0.3"/>
  <cols>
    <col min="1" max="1" width="7" bestFit="1" customWidth="1"/>
    <col min="2" max="2" width="20.10937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6.88671875" bestFit="1" customWidth="1"/>
    <col min="7" max="7" width="9.21875" bestFit="1" customWidth="1"/>
    <col min="8" max="8" width="3" bestFit="1" customWidth="1"/>
    <col min="9" max="9" width="10.5546875" bestFit="1" customWidth="1"/>
    <col min="10" max="10" width="9" bestFit="1" customWidth="1"/>
    <col min="11" max="11" width="4.44140625" bestFit="1" customWidth="1"/>
    <col min="12" max="12" width="11.88671875" bestFit="1" customWidth="1"/>
    <col min="13" max="13" width="12.44140625" bestFit="1" customWidth="1"/>
    <col min="17" max="17" width="15.44140625" customWidth="1"/>
    <col min="19" max="19" width="18.33203125" customWidth="1"/>
  </cols>
  <sheetData>
    <row r="1" spans="1:1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s="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0</v>
      </c>
      <c r="O1" t="s">
        <v>1</v>
      </c>
      <c r="P1" t="s">
        <v>2</v>
      </c>
      <c r="Q1" t="s">
        <v>2034</v>
      </c>
      <c r="R1" t="s">
        <v>3</v>
      </c>
      <c r="S1" t="s">
        <v>2035</v>
      </c>
    </row>
    <row r="2" spans="1:19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47</v>
      </c>
      <c r="I2" s="1">
        <v>44597</v>
      </c>
      <c r="J2" s="2">
        <v>92368</v>
      </c>
      <c r="K2" s="3">
        <v>0</v>
      </c>
      <c r="L2" t="s">
        <v>25</v>
      </c>
      <c r="M2" t="s">
        <v>26</v>
      </c>
      <c r="N2" s="2">
        <f>Employee_Data[[#This Row],[Basic Salary]]*10%</f>
        <v>769.73333333333335</v>
      </c>
      <c r="O2" s="4">
        <f>Employee_Data[[#This Row],[Basic Salary]]*7.5%</f>
        <v>577.29999999999995</v>
      </c>
      <c r="P2" s="2">
        <f>Employee_Data[[#This Row],[Basic Salary]]*3%</f>
        <v>230.92</v>
      </c>
      <c r="Q2" s="2">
        <f>SUM(Employee_Data[[#This Row],[Basic Salary]],Employee_Data[[#This Row],[HRA]],Employee_Data[[#This Row],[MA]],Employee_Data[[#This Row],[TA]])</f>
        <v>9275.286666666665</v>
      </c>
      <c r="R2" s="4">
        <f>Employee_Data[[#This Row],[Basic Salary]]*12.5%</f>
        <v>962.16666666666663</v>
      </c>
      <c r="S2" s="2">
        <f>Employee_Data[[#This Row],[Annual Salary]]/12</f>
        <v>7697.333333333333</v>
      </c>
    </row>
    <row r="3" spans="1:19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24</v>
      </c>
      <c r="H3">
        <v>58</v>
      </c>
      <c r="I3" s="1">
        <v>41570</v>
      </c>
      <c r="J3" s="2">
        <v>45703</v>
      </c>
      <c r="K3" s="3">
        <v>0</v>
      </c>
      <c r="L3" t="s">
        <v>25</v>
      </c>
      <c r="M3" t="s">
        <v>32</v>
      </c>
      <c r="N3" s="2">
        <f>Employee_Data[[#This Row],[Basic Salary]]*10%</f>
        <v>380.85833333333335</v>
      </c>
      <c r="O3" s="4">
        <f>Employee_Data[[#This Row],[Basic Salary]]*7.5%</f>
        <v>285.64375000000001</v>
      </c>
      <c r="P3" s="2">
        <f>Employee_Data[[#This Row],[Basic Salary]]*3%</f>
        <v>114.25750000000001</v>
      </c>
      <c r="Q3" s="2">
        <f>SUM(Employee_Data[[#This Row],[Basic Salary]],Employee_Data[[#This Row],[HRA]],Employee_Data[[#This Row],[MA]],Employee_Data[[#This Row],[TA]])</f>
        <v>4589.3429166666665</v>
      </c>
      <c r="R3" s="4">
        <f>Employee_Data[[#This Row],[Basic Salary]]*12.5%</f>
        <v>476.07291666666669</v>
      </c>
      <c r="S3" s="2">
        <f>Employee_Data[[#This Row],[Annual Salary]]/12</f>
        <v>3808.5833333333335</v>
      </c>
    </row>
    <row r="4" spans="1:19" x14ac:dyDescent="0.3">
      <c r="A4" t="s">
        <v>33</v>
      </c>
      <c r="B4" t="s">
        <v>34</v>
      </c>
      <c r="C4" t="s">
        <v>35</v>
      </c>
      <c r="D4" t="s">
        <v>4</v>
      </c>
      <c r="E4" t="s">
        <v>36</v>
      </c>
      <c r="F4" t="s">
        <v>23</v>
      </c>
      <c r="G4" t="s">
        <v>24</v>
      </c>
      <c r="H4">
        <v>34</v>
      </c>
      <c r="I4" s="1">
        <v>43548</v>
      </c>
      <c r="J4" s="2">
        <v>83576</v>
      </c>
      <c r="K4" s="3">
        <v>0</v>
      </c>
      <c r="L4" t="s">
        <v>37</v>
      </c>
      <c r="M4" t="s">
        <v>38</v>
      </c>
      <c r="N4" s="2">
        <f>Employee_Data[[#This Row],[Basic Salary]]*10%</f>
        <v>696.4666666666667</v>
      </c>
      <c r="O4" s="4">
        <f>Employee_Data[[#This Row],[Basic Salary]]*7.5%</f>
        <v>522.35</v>
      </c>
      <c r="P4" s="2">
        <f>Employee_Data[[#This Row],[Basic Salary]]*3%</f>
        <v>208.94</v>
      </c>
      <c r="Q4" s="2">
        <f>SUM(Employee_Data[[#This Row],[Basic Salary]],Employee_Data[[#This Row],[HRA]],Employee_Data[[#This Row],[MA]],Employee_Data[[#This Row],[TA]])</f>
        <v>8392.4233333333341</v>
      </c>
      <c r="R4" s="4">
        <f>Employee_Data[[#This Row],[Basic Salary]]*12.5%</f>
        <v>870.58333333333337</v>
      </c>
      <c r="S4" s="2">
        <f>Employee_Data[[#This Row],[Annual Salary]]/12</f>
        <v>6964.666666666667</v>
      </c>
    </row>
    <row r="5" spans="1:19" x14ac:dyDescent="0.3">
      <c r="A5" t="s">
        <v>39</v>
      </c>
      <c r="B5" t="s">
        <v>40</v>
      </c>
      <c r="C5" t="s">
        <v>41</v>
      </c>
      <c r="D5" t="s">
        <v>4</v>
      </c>
      <c r="E5" t="s">
        <v>31</v>
      </c>
      <c r="F5" t="s">
        <v>42</v>
      </c>
      <c r="G5" t="s">
        <v>43</v>
      </c>
      <c r="H5">
        <v>39</v>
      </c>
      <c r="I5" s="1">
        <v>43197</v>
      </c>
      <c r="J5" s="2">
        <v>98062</v>
      </c>
      <c r="K5" s="3">
        <v>0</v>
      </c>
      <c r="L5" t="s">
        <v>25</v>
      </c>
      <c r="M5" t="s">
        <v>44</v>
      </c>
      <c r="N5" s="2">
        <f>Employee_Data[[#This Row],[Basic Salary]]*10%</f>
        <v>817.18333333333339</v>
      </c>
      <c r="O5" s="4">
        <f>Employee_Data[[#This Row],[Basic Salary]]*7.5%</f>
        <v>612.88749999999993</v>
      </c>
      <c r="P5" s="2">
        <f>Employee_Data[[#This Row],[Basic Salary]]*3%</f>
        <v>245.15499999999997</v>
      </c>
      <c r="Q5" s="2">
        <f>SUM(Employee_Data[[#This Row],[Basic Salary]],Employee_Data[[#This Row],[HRA]],Employee_Data[[#This Row],[MA]],Employee_Data[[#This Row],[TA]])</f>
        <v>9847.0591666666678</v>
      </c>
      <c r="R5" s="4">
        <f>Employee_Data[[#This Row],[Basic Salary]]*12.5%</f>
        <v>1021.4791666666666</v>
      </c>
      <c r="S5" s="2">
        <f>Employee_Data[[#This Row],[Annual Salary]]/12</f>
        <v>8171.833333333333</v>
      </c>
    </row>
    <row r="6" spans="1:19" x14ac:dyDescent="0.3">
      <c r="A6" t="s">
        <v>45</v>
      </c>
      <c r="B6" t="s">
        <v>46</v>
      </c>
      <c r="C6" t="s">
        <v>47</v>
      </c>
      <c r="D6" t="s">
        <v>21</v>
      </c>
      <c r="E6" t="s">
        <v>31</v>
      </c>
      <c r="F6" t="s">
        <v>42</v>
      </c>
      <c r="G6" t="s">
        <v>43</v>
      </c>
      <c r="H6">
        <v>42</v>
      </c>
      <c r="I6" s="1">
        <v>38521</v>
      </c>
      <c r="J6" s="2">
        <v>175391</v>
      </c>
      <c r="K6" s="3">
        <v>0.24</v>
      </c>
      <c r="L6" t="s">
        <v>25</v>
      </c>
      <c r="M6" t="s">
        <v>48</v>
      </c>
      <c r="N6" s="2">
        <f>Employee_Data[[#This Row],[Basic Salary]]*10%</f>
        <v>1461.5916666666667</v>
      </c>
      <c r="O6" s="4">
        <f>Employee_Data[[#This Row],[Basic Salary]]*7.5%</f>
        <v>1096.1937499999999</v>
      </c>
      <c r="P6" s="2">
        <f>Employee_Data[[#This Row],[Basic Salary]]*3%</f>
        <v>438.47749999999996</v>
      </c>
      <c r="Q6" s="2">
        <f>SUM(Employee_Data[[#This Row],[Basic Salary]],Employee_Data[[#This Row],[HRA]],Employee_Data[[#This Row],[MA]],Employee_Data[[#This Row],[TA]])</f>
        <v>17612.179583333334</v>
      </c>
      <c r="R6" s="4">
        <f>Employee_Data[[#This Row],[Basic Salary]]*12.5%</f>
        <v>1826.9895833333333</v>
      </c>
      <c r="S6" s="2">
        <f>Employee_Data[[#This Row],[Annual Salary]]/12</f>
        <v>14615.916666666666</v>
      </c>
    </row>
    <row r="7" spans="1:19" x14ac:dyDescent="0.3">
      <c r="A7" t="s">
        <v>49</v>
      </c>
      <c r="B7" t="s">
        <v>50</v>
      </c>
      <c r="C7" t="s">
        <v>35</v>
      </c>
      <c r="D7" t="s">
        <v>4</v>
      </c>
      <c r="E7" t="s">
        <v>22</v>
      </c>
      <c r="F7" t="s">
        <v>23</v>
      </c>
      <c r="G7" t="s">
        <v>24</v>
      </c>
      <c r="H7">
        <v>62</v>
      </c>
      <c r="I7" s="1">
        <v>38099</v>
      </c>
      <c r="J7" s="2">
        <v>66227</v>
      </c>
      <c r="K7" s="3">
        <v>0</v>
      </c>
      <c r="L7" t="s">
        <v>25</v>
      </c>
      <c r="M7" t="s">
        <v>51</v>
      </c>
      <c r="N7" s="2">
        <f>Employee_Data[[#This Row],[Basic Salary]]*10%</f>
        <v>551.89166666666677</v>
      </c>
      <c r="O7" s="4">
        <f>Employee_Data[[#This Row],[Basic Salary]]*7.5%</f>
        <v>413.91874999999999</v>
      </c>
      <c r="P7" s="2">
        <f>Employee_Data[[#This Row],[Basic Salary]]*3%</f>
        <v>165.5675</v>
      </c>
      <c r="Q7" s="2">
        <f>SUM(Employee_Data[[#This Row],[Basic Salary]],Employee_Data[[#This Row],[HRA]],Employee_Data[[#This Row],[MA]],Employee_Data[[#This Row],[TA]])</f>
        <v>6650.2945833333333</v>
      </c>
      <c r="R7" s="4">
        <f>Employee_Data[[#This Row],[Basic Salary]]*12.5%</f>
        <v>689.86458333333337</v>
      </c>
      <c r="S7" s="2">
        <f>Employee_Data[[#This Row],[Annual Salary]]/12</f>
        <v>5518.916666666667</v>
      </c>
    </row>
    <row r="8" spans="1:19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42</v>
      </c>
      <c r="G8" t="s">
        <v>24</v>
      </c>
      <c r="H8">
        <v>58</v>
      </c>
      <c r="I8" s="1">
        <v>39991</v>
      </c>
      <c r="J8" s="2">
        <v>89744</v>
      </c>
      <c r="K8" s="3">
        <v>0</v>
      </c>
      <c r="L8" t="s">
        <v>37</v>
      </c>
      <c r="M8" t="s">
        <v>57</v>
      </c>
      <c r="N8" s="2">
        <f>Employee_Data[[#This Row],[Basic Salary]]*10%</f>
        <v>747.86666666666679</v>
      </c>
      <c r="O8" s="4">
        <f>Employee_Data[[#This Row],[Basic Salary]]*7.5%</f>
        <v>560.9</v>
      </c>
      <c r="P8" s="2">
        <f>Employee_Data[[#This Row],[Basic Salary]]*3%</f>
        <v>224.36</v>
      </c>
      <c r="Q8" s="2">
        <f>SUM(Employee_Data[[#This Row],[Basic Salary]],Employee_Data[[#This Row],[HRA]],Employee_Data[[#This Row],[MA]],Employee_Data[[#This Row],[TA]])</f>
        <v>9011.7933333333331</v>
      </c>
      <c r="R8" s="4">
        <f>Employee_Data[[#This Row],[Basic Salary]]*12.5%</f>
        <v>934.83333333333337</v>
      </c>
      <c r="S8" s="2">
        <f>Employee_Data[[#This Row],[Annual Salary]]/12</f>
        <v>7478.666666666667</v>
      </c>
    </row>
    <row r="9" spans="1:19" x14ac:dyDescent="0.3">
      <c r="A9" t="s">
        <v>58</v>
      </c>
      <c r="B9" t="s">
        <v>59</v>
      </c>
      <c r="C9" t="s">
        <v>60</v>
      </c>
      <c r="D9" t="s">
        <v>61</v>
      </c>
      <c r="E9" t="s">
        <v>31</v>
      </c>
      <c r="F9" t="s">
        <v>23</v>
      </c>
      <c r="G9" t="s">
        <v>24</v>
      </c>
      <c r="H9">
        <v>62</v>
      </c>
      <c r="I9" s="1">
        <v>36210</v>
      </c>
      <c r="J9" s="2">
        <v>69674</v>
      </c>
      <c r="K9" s="3">
        <v>0</v>
      </c>
      <c r="L9" t="s">
        <v>37</v>
      </c>
      <c r="M9" t="s">
        <v>62</v>
      </c>
      <c r="N9" s="2">
        <f>Employee_Data[[#This Row],[Basic Salary]]*10%</f>
        <v>580.61666666666667</v>
      </c>
      <c r="O9" s="4">
        <f>Employee_Data[[#This Row],[Basic Salary]]*7.5%</f>
        <v>435.46250000000003</v>
      </c>
      <c r="P9" s="2">
        <f>Employee_Data[[#This Row],[Basic Salary]]*3%</f>
        <v>174.185</v>
      </c>
      <c r="Q9" s="2">
        <f>SUM(Employee_Data[[#This Row],[Basic Salary]],Employee_Data[[#This Row],[HRA]],Employee_Data[[#This Row],[MA]],Employee_Data[[#This Row],[TA]])</f>
        <v>6996.4308333333338</v>
      </c>
      <c r="R9" s="4">
        <f>Employee_Data[[#This Row],[Basic Salary]]*12.5%</f>
        <v>725.77083333333337</v>
      </c>
      <c r="S9" s="2">
        <f>Employee_Data[[#This Row],[Annual Salary]]/12</f>
        <v>5806.166666666667</v>
      </c>
    </row>
    <row r="10" spans="1:19" x14ac:dyDescent="0.3">
      <c r="A10" t="s">
        <v>63</v>
      </c>
      <c r="B10" t="s">
        <v>64</v>
      </c>
      <c r="C10" t="s">
        <v>65</v>
      </c>
      <c r="D10" t="s">
        <v>4</v>
      </c>
      <c r="E10" t="s">
        <v>22</v>
      </c>
      <c r="F10" t="s">
        <v>42</v>
      </c>
      <c r="G10" t="s">
        <v>66</v>
      </c>
      <c r="H10">
        <v>38</v>
      </c>
      <c r="I10" s="1">
        <v>40795</v>
      </c>
      <c r="J10" s="2">
        <v>97630</v>
      </c>
      <c r="K10" s="3">
        <v>0</v>
      </c>
      <c r="L10" t="s">
        <v>25</v>
      </c>
      <c r="M10" t="s">
        <v>44</v>
      </c>
      <c r="N10" s="2">
        <f>Employee_Data[[#This Row],[Basic Salary]]*10%</f>
        <v>813.58333333333337</v>
      </c>
      <c r="O10" s="4">
        <f>Employee_Data[[#This Row],[Basic Salary]]*7.5%</f>
        <v>610.1875</v>
      </c>
      <c r="P10" s="2">
        <f>Employee_Data[[#This Row],[Basic Salary]]*3%</f>
        <v>244.07499999999999</v>
      </c>
      <c r="Q10" s="2">
        <f>SUM(Employee_Data[[#This Row],[Basic Salary]],Employee_Data[[#This Row],[HRA]],Employee_Data[[#This Row],[MA]],Employee_Data[[#This Row],[TA]])</f>
        <v>9803.6791666666668</v>
      </c>
      <c r="R10" s="4">
        <f>Employee_Data[[#This Row],[Basic Salary]]*12.5%</f>
        <v>1016.9791666666666</v>
      </c>
      <c r="S10" s="2">
        <f>Employee_Data[[#This Row],[Annual Salary]]/12</f>
        <v>8135.833333333333</v>
      </c>
    </row>
    <row r="11" spans="1:19" x14ac:dyDescent="0.3">
      <c r="A11" t="s">
        <v>67</v>
      </c>
      <c r="B11" t="s">
        <v>68</v>
      </c>
      <c r="C11" t="s">
        <v>69</v>
      </c>
      <c r="D11" t="s">
        <v>61</v>
      </c>
      <c r="E11" t="s">
        <v>56</v>
      </c>
      <c r="F11" t="s">
        <v>23</v>
      </c>
      <c r="G11" t="s">
        <v>66</v>
      </c>
      <c r="H11">
        <v>52</v>
      </c>
      <c r="I11" s="1">
        <v>42040</v>
      </c>
      <c r="J11" s="2">
        <v>105879</v>
      </c>
      <c r="K11" s="3">
        <v>0.1</v>
      </c>
      <c r="L11" t="s">
        <v>25</v>
      </c>
      <c r="M11" t="s">
        <v>70</v>
      </c>
      <c r="N11" s="2">
        <f>Employee_Data[[#This Row],[Basic Salary]]*10%</f>
        <v>882.32500000000005</v>
      </c>
      <c r="O11" s="4">
        <f>Employee_Data[[#This Row],[Basic Salary]]*7.5%</f>
        <v>661.74374999999998</v>
      </c>
      <c r="P11" s="2">
        <f>Employee_Data[[#This Row],[Basic Salary]]*3%</f>
        <v>264.69749999999999</v>
      </c>
      <c r="Q11" s="2">
        <f>SUM(Employee_Data[[#This Row],[Basic Salary]],Employee_Data[[#This Row],[HRA]],Employee_Data[[#This Row],[MA]],Employee_Data[[#This Row],[TA]])</f>
        <v>10632.016250000001</v>
      </c>
      <c r="R11" s="4">
        <f>Employee_Data[[#This Row],[Basic Salary]]*12.5%</f>
        <v>1102.90625</v>
      </c>
      <c r="S11" s="2">
        <f>Employee_Data[[#This Row],[Annual Salary]]/12</f>
        <v>8823.25</v>
      </c>
    </row>
    <row r="12" spans="1:19" x14ac:dyDescent="0.3">
      <c r="A12" t="s">
        <v>71</v>
      </c>
      <c r="B12" t="s">
        <v>72</v>
      </c>
      <c r="C12" t="s">
        <v>73</v>
      </c>
      <c r="D12" t="s">
        <v>4</v>
      </c>
      <c r="E12" t="s">
        <v>22</v>
      </c>
      <c r="F12" t="s">
        <v>23</v>
      </c>
      <c r="G12" t="s">
        <v>43</v>
      </c>
      <c r="H12">
        <v>49</v>
      </c>
      <c r="I12" s="1">
        <v>37906</v>
      </c>
      <c r="J12" s="2">
        <v>40499</v>
      </c>
      <c r="K12" s="3">
        <v>0</v>
      </c>
      <c r="L12" t="s">
        <v>25</v>
      </c>
      <c r="M12" t="s">
        <v>70</v>
      </c>
      <c r="N12" s="2">
        <f>Employee_Data[[#This Row],[Basic Salary]]*10%</f>
        <v>337.49166666666667</v>
      </c>
      <c r="O12" s="4">
        <f>Employee_Data[[#This Row],[Basic Salary]]*7.5%</f>
        <v>253.11874999999998</v>
      </c>
      <c r="P12" s="2">
        <f>Employee_Data[[#This Row],[Basic Salary]]*3%</f>
        <v>101.24749999999999</v>
      </c>
      <c r="Q12" s="2">
        <f>SUM(Employee_Data[[#This Row],[Basic Salary]],Employee_Data[[#This Row],[HRA]],Employee_Data[[#This Row],[MA]],Employee_Data[[#This Row],[TA]])</f>
        <v>4066.7745833333333</v>
      </c>
      <c r="R12" s="4">
        <f>Employee_Data[[#This Row],[Basic Salary]]*12.5%</f>
        <v>421.86458333333331</v>
      </c>
      <c r="S12" s="2">
        <f>Employee_Data[[#This Row],[Annual Salary]]/12</f>
        <v>3374.9166666666665</v>
      </c>
    </row>
    <row r="13" spans="1:19" x14ac:dyDescent="0.3">
      <c r="A13" t="s">
        <v>74</v>
      </c>
      <c r="B13" t="s">
        <v>75</v>
      </c>
      <c r="C13" t="s">
        <v>54</v>
      </c>
      <c r="D13" t="s">
        <v>61</v>
      </c>
      <c r="E13" t="s">
        <v>56</v>
      </c>
      <c r="F13" t="s">
        <v>42</v>
      </c>
      <c r="G13" t="s">
        <v>24</v>
      </c>
      <c r="H13">
        <v>63</v>
      </c>
      <c r="I13" s="1">
        <v>41854</v>
      </c>
      <c r="J13" s="2">
        <v>71418</v>
      </c>
      <c r="K13" s="3">
        <v>0</v>
      </c>
      <c r="L13" t="s">
        <v>25</v>
      </c>
      <c r="M13" t="s">
        <v>51</v>
      </c>
      <c r="N13" s="2">
        <f>Employee_Data[[#This Row],[Basic Salary]]*10%</f>
        <v>595.15</v>
      </c>
      <c r="O13" s="4">
        <f>Employee_Data[[#This Row],[Basic Salary]]*7.5%</f>
        <v>446.36250000000001</v>
      </c>
      <c r="P13" s="2">
        <f>Employee_Data[[#This Row],[Basic Salary]]*3%</f>
        <v>178.54499999999999</v>
      </c>
      <c r="Q13" s="2">
        <f>SUM(Employee_Data[[#This Row],[Basic Salary]],Employee_Data[[#This Row],[HRA]],Employee_Data[[#This Row],[MA]],Employee_Data[[#This Row],[TA]])</f>
        <v>7171.5574999999999</v>
      </c>
      <c r="R13" s="4">
        <f>Employee_Data[[#This Row],[Basic Salary]]*12.5%</f>
        <v>743.9375</v>
      </c>
      <c r="S13" s="2">
        <f>Employee_Data[[#This Row],[Annual Salary]]/12</f>
        <v>5951.5</v>
      </c>
    </row>
    <row r="14" spans="1:19" x14ac:dyDescent="0.3">
      <c r="A14" t="s">
        <v>76</v>
      </c>
      <c r="B14" t="s">
        <v>77</v>
      </c>
      <c r="C14" t="s">
        <v>47</v>
      </c>
      <c r="D14" t="s">
        <v>4</v>
      </c>
      <c r="E14" t="s">
        <v>22</v>
      </c>
      <c r="F14" t="s">
        <v>23</v>
      </c>
      <c r="G14" t="s">
        <v>24</v>
      </c>
      <c r="H14">
        <v>45</v>
      </c>
      <c r="I14" s="1">
        <v>43054</v>
      </c>
      <c r="J14" s="2">
        <v>150558</v>
      </c>
      <c r="K14" s="3">
        <v>0.23</v>
      </c>
      <c r="L14" t="s">
        <v>37</v>
      </c>
      <c r="M14" t="s">
        <v>57</v>
      </c>
      <c r="N14" s="2">
        <f>Employee_Data[[#This Row],[Basic Salary]]*10%</f>
        <v>1254.6500000000001</v>
      </c>
      <c r="O14" s="4">
        <f>Employee_Data[[#This Row],[Basic Salary]]*7.5%</f>
        <v>940.98749999999995</v>
      </c>
      <c r="P14" s="2">
        <f>Employee_Data[[#This Row],[Basic Salary]]*3%</f>
        <v>376.39499999999998</v>
      </c>
      <c r="Q14" s="2">
        <f>SUM(Employee_Data[[#This Row],[Basic Salary]],Employee_Data[[#This Row],[HRA]],Employee_Data[[#This Row],[MA]],Employee_Data[[#This Row],[TA]])</f>
        <v>15118.532499999999</v>
      </c>
      <c r="R14" s="4">
        <f>Employee_Data[[#This Row],[Basic Salary]]*12.5%</f>
        <v>1568.3125</v>
      </c>
      <c r="S14" s="2">
        <f>Employee_Data[[#This Row],[Annual Salary]]/12</f>
        <v>12546.5</v>
      </c>
    </row>
    <row r="15" spans="1:19" x14ac:dyDescent="0.3">
      <c r="A15" t="s">
        <v>78</v>
      </c>
      <c r="B15" t="s">
        <v>79</v>
      </c>
      <c r="C15" t="s">
        <v>69</v>
      </c>
      <c r="D15" t="s">
        <v>80</v>
      </c>
      <c r="E15" t="s">
        <v>31</v>
      </c>
      <c r="F15" t="s">
        <v>23</v>
      </c>
      <c r="G15" t="s">
        <v>66</v>
      </c>
      <c r="H15">
        <v>36</v>
      </c>
      <c r="I15" s="1">
        <v>43303</v>
      </c>
      <c r="J15" s="2">
        <v>118912</v>
      </c>
      <c r="K15" s="3">
        <v>0.08</v>
      </c>
      <c r="L15" t="s">
        <v>25</v>
      </c>
      <c r="M15" t="s">
        <v>70</v>
      </c>
      <c r="N15" s="2">
        <f>Employee_Data[[#This Row],[Basic Salary]]*10%</f>
        <v>990.93333333333339</v>
      </c>
      <c r="O15" s="4">
        <f>Employee_Data[[#This Row],[Basic Salary]]*7.5%</f>
        <v>743.2</v>
      </c>
      <c r="P15" s="2">
        <f>Employee_Data[[#This Row],[Basic Salary]]*3%</f>
        <v>297.28000000000003</v>
      </c>
      <c r="Q15" s="2">
        <f>SUM(Employee_Data[[#This Row],[Basic Salary]],Employee_Data[[#This Row],[HRA]],Employee_Data[[#This Row],[MA]],Employee_Data[[#This Row],[TA]])</f>
        <v>11940.746666666668</v>
      </c>
      <c r="R15" s="4">
        <f>Employee_Data[[#This Row],[Basic Salary]]*12.5%</f>
        <v>1238.6666666666667</v>
      </c>
      <c r="S15" s="2">
        <f>Employee_Data[[#This Row],[Annual Salary]]/12</f>
        <v>9909.3333333333339</v>
      </c>
    </row>
    <row r="16" spans="1:19" x14ac:dyDescent="0.3">
      <c r="A16" t="s">
        <v>81</v>
      </c>
      <c r="B16" t="s">
        <v>82</v>
      </c>
      <c r="C16" t="s">
        <v>83</v>
      </c>
      <c r="D16" t="s">
        <v>80</v>
      </c>
      <c r="E16" t="s">
        <v>31</v>
      </c>
      <c r="F16" t="s">
        <v>23</v>
      </c>
      <c r="G16" t="s">
        <v>84</v>
      </c>
      <c r="H16">
        <v>42</v>
      </c>
      <c r="I16" s="1">
        <v>44279</v>
      </c>
      <c r="J16" s="2">
        <v>131422</v>
      </c>
      <c r="K16" s="3">
        <v>0.15</v>
      </c>
      <c r="L16" t="s">
        <v>25</v>
      </c>
      <c r="M16" t="s">
        <v>51</v>
      </c>
      <c r="N16" s="2">
        <f>Employee_Data[[#This Row],[Basic Salary]]*10%</f>
        <v>1095.1833333333334</v>
      </c>
      <c r="O16" s="4">
        <f>Employee_Data[[#This Row],[Basic Salary]]*7.5%</f>
        <v>821.38750000000005</v>
      </c>
      <c r="P16" s="2">
        <f>Employee_Data[[#This Row],[Basic Salary]]*3%</f>
        <v>328.55500000000001</v>
      </c>
      <c r="Q16" s="2">
        <f>SUM(Employee_Data[[#This Row],[Basic Salary]],Employee_Data[[#This Row],[HRA]],Employee_Data[[#This Row],[MA]],Employee_Data[[#This Row],[TA]])</f>
        <v>13196.959166666667</v>
      </c>
      <c r="R16" s="4">
        <f>Employee_Data[[#This Row],[Basic Salary]]*12.5%</f>
        <v>1368.9791666666667</v>
      </c>
      <c r="S16" s="2">
        <f>Employee_Data[[#This Row],[Annual Salary]]/12</f>
        <v>10951.833333333334</v>
      </c>
    </row>
    <row r="17" spans="1:19" x14ac:dyDescent="0.3">
      <c r="A17" t="s">
        <v>85</v>
      </c>
      <c r="B17" t="s">
        <v>86</v>
      </c>
      <c r="C17" t="s">
        <v>41</v>
      </c>
      <c r="D17" t="s">
        <v>4</v>
      </c>
      <c r="E17" t="s">
        <v>31</v>
      </c>
      <c r="F17" t="s">
        <v>42</v>
      </c>
      <c r="G17" t="s">
        <v>24</v>
      </c>
      <c r="H17">
        <v>62</v>
      </c>
      <c r="I17" s="1">
        <v>35637</v>
      </c>
      <c r="J17" s="2">
        <v>64208</v>
      </c>
      <c r="K17" s="3">
        <v>0</v>
      </c>
      <c r="L17" t="s">
        <v>25</v>
      </c>
      <c r="M17" t="s">
        <v>70</v>
      </c>
      <c r="N17" s="2">
        <f>Employee_Data[[#This Row],[Basic Salary]]*10%</f>
        <v>535.06666666666672</v>
      </c>
      <c r="O17" s="4">
        <f>Employee_Data[[#This Row],[Basic Salary]]*7.5%</f>
        <v>401.3</v>
      </c>
      <c r="P17" s="2">
        <f>Employee_Data[[#This Row],[Basic Salary]]*3%</f>
        <v>160.52000000000001</v>
      </c>
      <c r="Q17" s="2">
        <f>SUM(Employee_Data[[#This Row],[Basic Salary]],Employee_Data[[#This Row],[HRA]],Employee_Data[[#This Row],[MA]],Employee_Data[[#This Row],[TA]])</f>
        <v>6447.5533333333342</v>
      </c>
      <c r="R17" s="4">
        <f>Employee_Data[[#This Row],[Basic Salary]]*12.5%</f>
        <v>668.83333333333337</v>
      </c>
      <c r="S17" s="2">
        <f>Employee_Data[[#This Row],[Annual Salary]]/12</f>
        <v>5350.666666666667</v>
      </c>
    </row>
    <row r="18" spans="1:19" x14ac:dyDescent="0.3">
      <c r="A18" t="s">
        <v>87</v>
      </c>
      <c r="B18" t="s">
        <v>88</v>
      </c>
      <c r="C18" t="s">
        <v>89</v>
      </c>
      <c r="D18" t="s">
        <v>21</v>
      </c>
      <c r="E18" t="s">
        <v>56</v>
      </c>
      <c r="F18" t="s">
        <v>42</v>
      </c>
      <c r="G18" t="s">
        <v>24</v>
      </c>
      <c r="H18">
        <v>45</v>
      </c>
      <c r="I18" s="1">
        <v>40395</v>
      </c>
      <c r="J18" s="2">
        <v>254486</v>
      </c>
      <c r="K18" s="3">
        <v>0.33</v>
      </c>
      <c r="L18" t="s">
        <v>37</v>
      </c>
      <c r="M18" t="s">
        <v>62</v>
      </c>
      <c r="N18" s="2">
        <f>Employee_Data[[#This Row],[Basic Salary]]*10%</f>
        <v>2120.7166666666667</v>
      </c>
      <c r="O18" s="4">
        <f>Employee_Data[[#This Row],[Basic Salary]]*7.5%</f>
        <v>1590.5375000000001</v>
      </c>
      <c r="P18" s="2">
        <f>Employee_Data[[#This Row],[Basic Salary]]*3%</f>
        <v>636.21500000000003</v>
      </c>
      <c r="Q18" s="2">
        <f>SUM(Employee_Data[[#This Row],[Basic Salary]],Employee_Data[[#This Row],[HRA]],Employee_Data[[#This Row],[MA]],Employee_Data[[#This Row],[TA]])</f>
        <v>25554.635833333334</v>
      </c>
      <c r="R18" s="4">
        <f>Employee_Data[[#This Row],[Basic Salary]]*12.5%</f>
        <v>2650.8958333333335</v>
      </c>
      <c r="S18" s="2">
        <f>Employee_Data[[#This Row],[Annual Salary]]/12</f>
        <v>21207.166666666668</v>
      </c>
    </row>
    <row r="19" spans="1:19" x14ac:dyDescent="0.3">
      <c r="A19" t="s">
        <v>90</v>
      </c>
      <c r="B19" t="s">
        <v>91</v>
      </c>
      <c r="C19" t="s">
        <v>29</v>
      </c>
      <c r="D19" t="s">
        <v>30</v>
      </c>
      <c r="E19" t="s">
        <v>56</v>
      </c>
      <c r="F19" t="s">
        <v>42</v>
      </c>
      <c r="G19" t="s">
        <v>24</v>
      </c>
      <c r="H19">
        <v>61</v>
      </c>
      <c r="I19" s="1">
        <v>43527</v>
      </c>
      <c r="J19" s="2">
        <v>54811</v>
      </c>
      <c r="K19" s="3">
        <v>0</v>
      </c>
      <c r="L19" t="s">
        <v>37</v>
      </c>
      <c r="M19" t="s">
        <v>57</v>
      </c>
      <c r="N19" s="2">
        <f>Employee_Data[[#This Row],[Basic Salary]]*10%</f>
        <v>456.75833333333333</v>
      </c>
      <c r="O19" s="4">
        <f>Employee_Data[[#This Row],[Basic Salary]]*7.5%</f>
        <v>342.56874999999997</v>
      </c>
      <c r="P19" s="2">
        <f>Employee_Data[[#This Row],[Basic Salary]]*3%</f>
        <v>137.02749999999997</v>
      </c>
      <c r="Q19" s="2">
        <f>SUM(Employee_Data[[#This Row],[Basic Salary]],Employee_Data[[#This Row],[HRA]],Employee_Data[[#This Row],[MA]],Employee_Data[[#This Row],[TA]])</f>
        <v>5503.9379166666668</v>
      </c>
      <c r="R19" s="4">
        <f>Employee_Data[[#This Row],[Basic Salary]]*12.5%</f>
        <v>570.94791666666663</v>
      </c>
      <c r="S19" s="2">
        <f>Employee_Data[[#This Row],[Annual Salary]]/12</f>
        <v>4567.583333333333</v>
      </c>
    </row>
    <row r="20" spans="1:19" x14ac:dyDescent="0.3">
      <c r="A20" t="s">
        <v>92</v>
      </c>
      <c r="B20" t="s">
        <v>93</v>
      </c>
      <c r="C20" t="s">
        <v>94</v>
      </c>
      <c r="D20" t="s">
        <v>4</v>
      </c>
      <c r="E20" t="s">
        <v>56</v>
      </c>
      <c r="F20" t="s">
        <v>23</v>
      </c>
      <c r="G20" t="s">
        <v>24</v>
      </c>
      <c r="H20">
        <v>29</v>
      </c>
      <c r="I20" s="1">
        <v>43050</v>
      </c>
      <c r="J20" s="2">
        <v>95729</v>
      </c>
      <c r="K20" s="3">
        <v>0</v>
      </c>
      <c r="L20" t="s">
        <v>25</v>
      </c>
      <c r="M20" t="s">
        <v>44</v>
      </c>
      <c r="N20" s="2">
        <f>Employee_Data[[#This Row],[Basic Salary]]*10%</f>
        <v>797.74166666666679</v>
      </c>
      <c r="O20" s="4">
        <f>Employee_Data[[#This Row],[Basic Salary]]*7.5%</f>
        <v>598.30624999999998</v>
      </c>
      <c r="P20" s="2">
        <f>Employee_Data[[#This Row],[Basic Salary]]*3%</f>
        <v>239.32249999999999</v>
      </c>
      <c r="Q20" s="2">
        <f>SUM(Employee_Data[[#This Row],[Basic Salary]],Employee_Data[[#This Row],[HRA]],Employee_Data[[#This Row],[MA]],Employee_Data[[#This Row],[TA]])</f>
        <v>9612.7870833333327</v>
      </c>
      <c r="R20" s="4">
        <f>Employee_Data[[#This Row],[Basic Salary]]*12.5%</f>
        <v>997.17708333333337</v>
      </c>
      <c r="S20" s="2">
        <f>Employee_Data[[#This Row],[Annual Salary]]/12</f>
        <v>7977.416666666667</v>
      </c>
    </row>
    <row r="21" spans="1:19" x14ac:dyDescent="0.3">
      <c r="A21" t="s">
        <v>95</v>
      </c>
      <c r="B21" t="s">
        <v>96</v>
      </c>
      <c r="C21" t="s">
        <v>69</v>
      </c>
      <c r="D21" t="s">
        <v>55</v>
      </c>
      <c r="E21" t="s">
        <v>56</v>
      </c>
      <c r="F21" t="s">
        <v>42</v>
      </c>
      <c r="G21" t="s">
        <v>43</v>
      </c>
      <c r="H21">
        <v>63</v>
      </c>
      <c r="I21" s="1">
        <v>39852</v>
      </c>
      <c r="J21" s="2">
        <v>102649</v>
      </c>
      <c r="K21" s="3">
        <v>0.06</v>
      </c>
      <c r="L21" t="s">
        <v>25</v>
      </c>
      <c r="M21" t="s">
        <v>48</v>
      </c>
      <c r="N21" s="2">
        <f>Employee_Data[[#This Row],[Basic Salary]]*10%</f>
        <v>855.40833333333342</v>
      </c>
      <c r="O21" s="4">
        <f>Employee_Data[[#This Row],[Basic Salary]]*7.5%</f>
        <v>641.55624999999998</v>
      </c>
      <c r="P21" s="2">
        <f>Employee_Data[[#This Row],[Basic Salary]]*3%</f>
        <v>256.6225</v>
      </c>
      <c r="Q21" s="2">
        <f>SUM(Employee_Data[[#This Row],[Basic Salary]],Employee_Data[[#This Row],[HRA]],Employee_Data[[#This Row],[MA]],Employee_Data[[#This Row],[TA]])</f>
        <v>10307.670416666666</v>
      </c>
      <c r="R21" s="4">
        <f>Employee_Data[[#This Row],[Basic Salary]]*12.5%</f>
        <v>1069.2604166666667</v>
      </c>
      <c r="S21" s="2">
        <f>Employee_Data[[#This Row],[Annual Salary]]/12</f>
        <v>8554.0833333333339</v>
      </c>
    </row>
    <row r="22" spans="1:19" x14ac:dyDescent="0.3">
      <c r="A22" t="s">
        <v>97</v>
      </c>
      <c r="B22" t="s">
        <v>98</v>
      </c>
      <c r="C22" t="s">
        <v>83</v>
      </c>
      <c r="D22" t="s">
        <v>55</v>
      </c>
      <c r="E22" t="s">
        <v>56</v>
      </c>
      <c r="F22" t="s">
        <v>23</v>
      </c>
      <c r="G22" t="s">
        <v>24</v>
      </c>
      <c r="H22">
        <v>45</v>
      </c>
      <c r="I22" s="1">
        <v>42324</v>
      </c>
      <c r="J22" s="2">
        <v>122875</v>
      </c>
      <c r="K22" s="3">
        <v>0.12</v>
      </c>
      <c r="L22" t="s">
        <v>25</v>
      </c>
      <c r="M22" t="s">
        <v>32</v>
      </c>
      <c r="N22" s="2">
        <f>Employee_Data[[#This Row],[Basic Salary]]*10%</f>
        <v>1023.9583333333335</v>
      </c>
      <c r="O22" s="4">
        <f>Employee_Data[[#This Row],[Basic Salary]]*7.5%</f>
        <v>767.96875</v>
      </c>
      <c r="P22" s="2">
        <f>Employee_Data[[#This Row],[Basic Salary]]*3%</f>
        <v>307.1875</v>
      </c>
      <c r="Q22" s="2">
        <f>SUM(Employee_Data[[#This Row],[Basic Salary]],Employee_Data[[#This Row],[HRA]],Employee_Data[[#This Row],[MA]],Employee_Data[[#This Row],[TA]])</f>
        <v>12338.697916666668</v>
      </c>
      <c r="R22" s="4">
        <f>Employee_Data[[#This Row],[Basic Salary]]*12.5%</f>
        <v>1279.9479166666667</v>
      </c>
      <c r="S22" s="2">
        <f>Employee_Data[[#This Row],[Annual Salary]]/12</f>
        <v>10239.583333333334</v>
      </c>
    </row>
    <row r="23" spans="1:19" x14ac:dyDescent="0.3">
      <c r="A23" t="s">
        <v>99</v>
      </c>
      <c r="B23" t="s">
        <v>100</v>
      </c>
      <c r="C23" t="s">
        <v>101</v>
      </c>
      <c r="D23" t="s">
        <v>4</v>
      </c>
      <c r="E23" t="s">
        <v>36</v>
      </c>
      <c r="F23" t="s">
        <v>42</v>
      </c>
      <c r="G23" t="s">
        <v>84</v>
      </c>
      <c r="H23">
        <v>43</v>
      </c>
      <c r="I23" s="1">
        <v>41500</v>
      </c>
      <c r="J23" s="2">
        <v>83323</v>
      </c>
      <c r="K23" s="3">
        <v>0</v>
      </c>
      <c r="L23" t="s">
        <v>25</v>
      </c>
      <c r="M23" t="s">
        <v>51</v>
      </c>
      <c r="N23" s="2">
        <f>Employee_Data[[#This Row],[Basic Salary]]*10%</f>
        <v>694.35833333333335</v>
      </c>
      <c r="O23" s="4">
        <f>Employee_Data[[#This Row],[Basic Salary]]*7.5%</f>
        <v>520.76874999999995</v>
      </c>
      <c r="P23" s="2">
        <f>Employee_Data[[#This Row],[Basic Salary]]*3%</f>
        <v>208.30749999999998</v>
      </c>
      <c r="Q23" s="2">
        <f>SUM(Employee_Data[[#This Row],[Basic Salary]],Employee_Data[[#This Row],[HRA]],Employee_Data[[#This Row],[MA]],Employee_Data[[#This Row],[TA]])</f>
        <v>8367.0179166666676</v>
      </c>
      <c r="R23" s="4">
        <f>Employee_Data[[#This Row],[Basic Salary]]*12.5%</f>
        <v>867.94791666666663</v>
      </c>
      <c r="S23" s="2">
        <f>Employee_Data[[#This Row],[Annual Salary]]/12</f>
        <v>6943.583333333333</v>
      </c>
    </row>
    <row r="24" spans="1:19" x14ac:dyDescent="0.3">
      <c r="A24" t="s">
        <v>102</v>
      </c>
      <c r="B24" t="s">
        <v>103</v>
      </c>
      <c r="C24" t="s">
        <v>104</v>
      </c>
      <c r="D24" t="s">
        <v>30</v>
      </c>
      <c r="E24" t="s">
        <v>22</v>
      </c>
      <c r="F24" t="s">
        <v>42</v>
      </c>
      <c r="G24" t="s">
        <v>24</v>
      </c>
      <c r="H24">
        <v>31</v>
      </c>
      <c r="I24" s="1">
        <v>43394</v>
      </c>
      <c r="J24" s="2">
        <v>66721</v>
      </c>
      <c r="K24" s="3">
        <v>0</v>
      </c>
      <c r="L24" t="s">
        <v>37</v>
      </c>
      <c r="M24" t="s">
        <v>38</v>
      </c>
      <c r="N24" s="2">
        <f>Employee_Data[[#This Row],[Basic Salary]]*10%</f>
        <v>556.00833333333333</v>
      </c>
      <c r="O24" s="4">
        <f>Employee_Data[[#This Row],[Basic Salary]]*7.5%</f>
        <v>417.00624999999997</v>
      </c>
      <c r="P24" s="2">
        <f>Employee_Data[[#This Row],[Basic Salary]]*3%</f>
        <v>166.80249999999998</v>
      </c>
      <c r="Q24" s="2">
        <f>SUM(Employee_Data[[#This Row],[Basic Salary]],Employee_Data[[#This Row],[HRA]],Employee_Data[[#This Row],[MA]],Employee_Data[[#This Row],[TA]])</f>
        <v>6699.9004166666664</v>
      </c>
      <c r="R24" s="4">
        <f>Employee_Data[[#This Row],[Basic Salary]]*12.5%</f>
        <v>695.01041666666663</v>
      </c>
      <c r="S24" s="2">
        <f>Employee_Data[[#This Row],[Annual Salary]]/12</f>
        <v>5560.083333333333</v>
      </c>
    </row>
    <row r="25" spans="1:19" x14ac:dyDescent="0.3">
      <c r="A25" t="s">
        <v>105</v>
      </c>
      <c r="B25" t="s">
        <v>106</v>
      </c>
      <c r="C25" t="s">
        <v>89</v>
      </c>
      <c r="D25" t="s">
        <v>55</v>
      </c>
      <c r="E25" t="s">
        <v>56</v>
      </c>
      <c r="F25" t="s">
        <v>23</v>
      </c>
      <c r="G25" t="s">
        <v>24</v>
      </c>
      <c r="H25">
        <v>48</v>
      </c>
      <c r="I25" s="1">
        <v>39050</v>
      </c>
      <c r="J25" s="2">
        <v>246400</v>
      </c>
      <c r="K25" s="3">
        <v>0.36</v>
      </c>
      <c r="L25" t="s">
        <v>37</v>
      </c>
      <c r="M25" t="s">
        <v>57</v>
      </c>
      <c r="N25" s="2">
        <f>Employee_Data[[#This Row],[Basic Salary]]*10%</f>
        <v>2053.3333333333335</v>
      </c>
      <c r="O25" s="4">
        <f>Employee_Data[[#This Row],[Basic Salary]]*7.5%</f>
        <v>1539.9999999999998</v>
      </c>
      <c r="P25" s="2">
        <f>Employee_Data[[#This Row],[Basic Salary]]*3%</f>
        <v>615.99999999999989</v>
      </c>
      <c r="Q25" s="2">
        <f>SUM(Employee_Data[[#This Row],[Basic Salary]],Employee_Data[[#This Row],[HRA]],Employee_Data[[#This Row],[MA]],Employee_Data[[#This Row],[TA]])</f>
        <v>24742.666666666664</v>
      </c>
      <c r="R25" s="4">
        <f>Employee_Data[[#This Row],[Basic Salary]]*12.5%</f>
        <v>2566.6666666666665</v>
      </c>
      <c r="S25" s="2">
        <f>Employee_Data[[#This Row],[Annual Salary]]/12</f>
        <v>20533.333333333332</v>
      </c>
    </row>
    <row r="26" spans="1:19" x14ac:dyDescent="0.3">
      <c r="A26" t="s">
        <v>107</v>
      </c>
      <c r="B26" t="s">
        <v>108</v>
      </c>
      <c r="C26" t="s">
        <v>69</v>
      </c>
      <c r="D26" t="s">
        <v>30</v>
      </c>
      <c r="E26" t="s">
        <v>56</v>
      </c>
      <c r="F26" t="s">
        <v>23</v>
      </c>
      <c r="G26" t="s">
        <v>66</v>
      </c>
      <c r="H26">
        <v>55</v>
      </c>
      <c r="I26" s="1">
        <v>35730</v>
      </c>
      <c r="J26" s="2">
        <v>113525</v>
      </c>
      <c r="K26" s="3">
        <v>0.06</v>
      </c>
      <c r="L26" t="s">
        <v>25</v>
      </c>
      <c r="M26" t="s">
        <v>70</v>
      </c>
      <c r="N26" s="2">
        <f>Employee_Data[[#This Row],[Basic Salary]]*10%</f>
        <v>946.04166666666663</v>
      </c>
      <c r="O26" s="4">
        <f>Employee_Data[[#This Row],[Basic Salary]]*7.5%</f>
        <v>709.53124999999989</v>
      </c>
      <c r="P26" s="2">
        <f>Employee_Data[[#This Row],[Basic Salary]]*3%</f>
        <v>283.81249999999994</v>
      </c>
      <c r="Q26" s="2">
        <f>SUM(Employee_Data[[#This Row],[Basic Salary]],Employee_Data[[#This Row],[HRA]],Employee_Data[[#This Row],[MA]],Employee_Data[[#This Row],[TA]])</f>
        <v>11399.802083333332</v>
      </c>
      <c r="R26" s="4">
        <f>Employee_Data[[#This Row],[Basic Salary]]*12.5%</f>
        <v>1182.5520833333333</v>
      </c>
      <c r="S26" s="2">
        <f>Employee_Data[[#This Row],[Annual Salary]]/12</f>
        <v>9460.4166666666661</v>
      </c>
    </row>
    <row r="27" spans="1:19" x14ac:dyDescent="0.3">
      <c r="A27" t="s">
        <v>109</v>
      </c>
      <c r="B27" t="s">
        <v>110</v>
      </c>
      <c r="C27" t="s">
        <v>47</v>
      </c>
      <c r="D27" t="s">
        <v>55</v>
      </c>
      <c r="E27" t="s">
        <v>22</v>
      </c>
      <c r="F27" t="s">
        <v>23</v>
      </c>
      <c r="G27" t="s">
        <v>24</v>
      </c>
      <c r="H27">
        <v>64</v>
      </c>
      <c r="I27" s="1">
        <v>38120</v>
      </c>
      <c r="J27" s="2">
        <v>184342</v>
      </c>
      <c r="K27" s="3">
        <v>0.22</v>
      </c>
      <c r="L27" t="s">
        <v>37</v>
      </c>
      <c r="M27" t="s">
        <v>111</v>
      </c>
      <c r="N27" s="2">
        <f>Employee_Data[[#This Row],[Basic Salary]]*10%</f>
        <v>1536.1833333333334</v>
      </c>
      <c r="O27" s="4">
        <f>Employee_Data[[#This Row],[Basic Salary]]*7.5%</f>
        <v>1152.1375</v>
      </c>
      <c r="P27" s="2">
        <f>Employee_Data[[#This Row],[Basic Salary]]*3%</f>
        <v>460.85500000000002</v>
      </c>
      <c r="Q27" s="2">
        <f>SUM(Employee_Data[[#This Row],[Basic Salary]],Employee_Data[[#This Row],[HRA]],Employee_Data[[#This Row],[MA]],Employee_Data[[#This Row],[TA]])</f>
        <v>18511.009166666667</v>
      </c>
      <c r="R27" s="4">
        <f>Employee_Data[[#This Row],[Basic Salary]]*12.5%</f>
        <v>1920.2291666666667</v>
      </c>
      <c r="S27" s="2">
        <f>Employee_Data[[#This Row],[Annual Salary]]/12</f>
        <v>15361.833333333334</v>
      </c>
    </row>
    <row r="28" spans="1:19" x14ac:dyDescent="0.3">
      <c r="A28" t="s">
        <v>112</v>
      </c>
      <c r="B28" t="s">
        <v>113</v>
      </c>
      <c r="C28" t="s">
        <v>47</v>
      </c>
      <c r="D28" t="s">
        <v>80</v>
      </c>
      <c r="E28" t="s">
        <v>56</v>
      </c>
      <c r="F28" t="s">
        <v>23</v>
      </c>
      <c r="G28" t="s">
        <v>66</v>
      </c>
      <c r="H28">
        <v>58</v>
      </c>
      <c r="I28" s="1">
        <v>44159</v>
      </c>
      <c r="J28" s="2">
        <v>151341</v>
      </c>
      <c r="K28" s="3">
        <v>0.22</v>
      </c>
      <c r="L28" t="s">
        <v>25</v>
      </c>
      <c r="M28" t="s">
        <v>44</v>
      </c>
      <c r="N28" s="2">
        <f>Employee_Data[[#This Row],[Basic Salary]]*10%</f>
        <v>1261.1750000000002</v>
      </c>
      <c r="O28" s="4">
        <f>Employee_Data[[#This Row],[Basic Salary]]*7.5%</f>
        <v>945.88124999999991</v>
      </c>
      <c r="P28" s="2">
        <f>Employee_Data[[#This Row],[Basic Salary]]*3%</f>
        <v>378.35249999999996</v>
      </c>
      <c r="Q28" s="2">
        <f>SUM(Employee_Data[[#This Row],[Basic Salary]],Employee_Data[[#This Row],[HRA]],Employee_Data[[#This Row],[MA]],Employee_Data[[#This Row],[TA]])</f>
        <v>15197.158749999999</v>
      </c>
      <c r="R28" s="4">
        <f>Employee_Data[[#This Row],[Basic Salary]]*12.5%</f>
        <v>1576.46875</v>
      </c>
      <c r="S28" s="2">
        <f>Employee_Data[[#This Row],[Annual Salary]]/12</f>
        <v>12611.75</v>
      </c>
    </row>
    <row r="29" spans="1:19" x14ac:dyDescent="0.3">
      <c r="A29" t="s">
        <v>114</v>
      </c>
      <c r="B29" t="s">
        <v>115</v>
      </c>
      <c r="C29" t="s">
        <v>69</v>
      </c>
      <c r="D29" t="s">
        <v>80</v>
      </c>
      <c r="E29" t="s">
        <v>22</v>
      </c>
      <c r="F29" t="s">
        <v>42</v>
      </c>
      <c r="G29" t="s">
        <v>66</v>
      </c>
      <c r="H29">
        <v>50</v>
      </c>
      <c r="I29" s="1">
        <v>38210</v>
      </c>
      <c r="J29" s="2">
        <v>118900</v>
      </c>
      <c r="K29" s="3">
        <v>0.05</v>
      </c>
      <c r="L29" t="s">
        <v>25</v>
      </c>
      <c r="M29" t="s">
        <v>44</v>
      </c>
      <c r="N29" s="2">
        <f>Employee_Data[[#This Row],[Basic Salary]]*10%</f>
        <v>990.83333333333348</v>
      </c>
      <c r="O29" s="4">
        <f>Employee_Data[[#This Row],[Basic Salary]]*7.5%</f>
        <v>743.125</v>
      </c>
      <c r="P29" s="2">
        <f>Employee_Data[[#This Row],[Basic Salary]]*3%</f>
        <v>297.25</v>
      </c>
      <c r="Q29" s="2">
        <f>SUM(Employee_Data[[#This Row],[Basic Salary]],Employee_Data[[#This Row],[HRA]],Employee_Data[[#This Row],[MA]],Employee_Data[[#This Row],[TA]])</f>
        <v>11939.541666666668</v>
      </c>
      <c r="R29" s="4">
        <f>Employee_Data[[#This Row],[Basic Salary]]*12.5%</f>
        <v>1238.5416666666667</v>
      </c>
      <c r="S29" s="2">
        <f>Employee_Data[[#This Row],[Annual Salary]]/12</f>
        <v>9908.3333333333339</v>
      </c>
    </row>
    <row r="30" spans="1:19" x14ac:dyDescent="0.3">
      <c r="A30" t="s">
        <v>116</v>
      </c>
      <c r="B30" t="s">
        <v>117</v>
      </c>
      <c r="C30" t="s">
        <v>83</v>
      </c>
      <c r="D30" t="s">
        <v>80</v>
      </c>
      <c r="E30" t="s">
        <v>31</v>
      </c>
      <c r="F30" t="s">
        <v>42</v>
      </c>
      <c r="G30" t="s">
        <v>84</v>
      </c>
      <c r="H30">
        <v>41</v>
      </c>
      <c r="I30" s="1">
        <v>42868</v>
      </c>
      <c r="J30" s="2">
        <v>153370</v>
      </c>
      <c r="K30" s="3">
        <v>0.1</v>
      </c>
      <c r="L30" t="s">
        <v>25</v>
      </c>
      <c r="M30" t="s">
        <v>32</v>
      </c>
      <c r="N30" s="2">
        <f>Employee_Data[[#This Row],[Basic Salary]]*10%</f>
        <v>1278.0833333333335</v>
      </c>
      <c r="O30" s="4">
        <f>Employee_Data[[#This Row],[Basic Salary]]*7.5%</f>
        <v>958.5625</v>
      </c>
      <c r="P30" s="2">
        <f>Employee_Data[[#This Row],[Basic Salary]]*3%</f>
        <v>383.42500000000001</v>
      </c>
      <c r="Q30" s="2">
        <f>SUM(Employee_Data[[#This Row],[Basic Salary]],Employee_Data[[#This Row],[HRA]],Employee_Data[[#This Row],[MA]],Employee_Data[[#This Row],[TA]])</f>
        <v>15400.904166666667</v>
      </c>
      <c r="R30" s="4">
        <f>Employee_Data[[#This Row],[Basic Salary]]*12.5%</f>
        <v>1597.6041666666667</v>
      </c>
      <c r="S30" s="2">
        <f>Employee_Data[[#This Row],[Annual Salary]]/12</f>
        <v>12780.833333333334</v>
      </c>
    </row>
    <row r="31" spans="1:19" x14ac:dyDescent="0.3">
      <c r="A31" t="s">
        <v>118</v>
      </c>
      <c r="B31" t="s">
        <v>119</v>
      </c>
      <c r="C31" t="s">
        <v>65</v>
      </c>
      <c r="D31" t="s">
        <v>4</v>
      </c>
      <c r="E31" t="s">
        <v>56</v>
      </c>
      <c r="F31" t="s">
        <v>23</v>
      </c>
      <c r="G31" t="s">
        <v>24</v>
      </c>
      <c r="H31">
        <v>50</v>
      </c>
      <c r="I31" s="1">
        <v>37330</v>
      </c>
      <c r="J31" s="2">
        <v>72860</v>
      </c>
      <c r="K31" s="3">
        <v>0</v>
      </c>
      <c r="L31" t="s">
        <v>37</v>
      </c>
      <c r="M31" t="s">
        <v>38</v>
      </c>
      <c r="N31" s="2">
        <f>Employee_Data[[#This Row],[Basic Salary]]*10%</f>
        <v>607.16666666666674</v>
      </c>
      <c r="O31" s="4">
        <f>Employee_Data[[#This Row],[Basic Salary]]*7.5%</f>
        <v>455.375</v>
      </c>
      <c r="P31" s="2">
        <f>Employee_Data[[#This Row],[Basic Salary]]*3%</f>
        <v>182.15</v>
      </c>
      <c r="Q31" s="2">
        <f>SUM(Employee_Data[[#This Row],[Basic Salary]],Employee_Data[[#This Row],[HRA]],Employee_Data[[#This Row],[MA]],Employee_Data[[#This Row],[TA]])</f>
        <v>7316.3583333333336</v>
      </c>
      <c r="R31" s="4">
        <f>Employee_Data[[#This Row],[Basic Salary]]*12.5%</f>
        <v>758.95833333333337</v>
      </c>
      <c r="S31" s="2">
        <f>Employee_Data[[#This Row],[Annual Salary]]/12</f>
        <v>6071.666666666667</v>
      </c>
    </row>
    <row r="32" spans="1:19" x14ac:dyDescent="0.3">
      <c r="A32" t="s">
        <v>120</v>
      </c>
      <c r="B32" t="s">
        <v>121</v>
      </c>
      <c r="C32" t="s">
        <v>89</v>
      </c>
      <c r="D32" t="s">
        <v>61</v>
      </c>
      <c r="E32" t="s">
        <v>36</v>
      </c>
      <c r="F32" t="s">
        <v>42</v>
      </c>
      <c r="G32" t="s">
        <v>66</v>
      </c>
      <c r="H32">
        <v>59</v>
      </c>
      <c r="I32" s="1">
        <v>37116</v>
      </c>
      <c r="J32" s="2">
        <v>255610</v>
      </c>
      <c r="K32" s="3">
        <v>0.36</v>
      </c>
      <c r="L32" t="s">
        <v>25</v>
      </c>
      <c r="M32" t="s">
        <v>51</v>
      </c>
      <c r="N32" s="2">
        <f>Employee_Data[[#This Row],[Basic Salary]]*10%</f>
        <v>2130.0833333333335</v>
      </c>
      <c r="O32" s="4">
        <f>Employee_Data[[#This Row],[Basic Salary]]*7.5%</f>
        <v>1597.5624999999998</v>
      </c>
      <c r="P32" s="2">
        <f>Employee_Data[[#This Row],[Basic Salary]]*3%</f>
        <v>639.02499999999998</v>
      </c>
      <c r="Q32" s="2">
        <f>SUM(Employee_Data[[#This Row],[Basic Salary]],Employee_Data[[#This Row],[HRA]],Employee_Data[[#This Row],[MA]],Employee_Data[[#This Row],[TA]])</f>
        <v>25667.504166666666</v>
      </c>
      <c r="R32" s="4">
        <f>Employee_Data[[#This Row],[Basic Salary]]*12.5%</f>
        <v>2662.6041666666665</v>
      </c>
      <c r="S32" s="2">
        <f>Employee_Data[[#This Row],[Annual Salary]]/12</f>
        <v>21300.833333333332</v>
      </c>
    </row>
    <row r="33" spans="1:19" x14ac:dyDescent="0.3">
      <c r="A33" t="s">
        <v>122</v>
      </c>
      <c r="B33" t="s">
        <v>123</v>
      </c>
      <c r="C33" t="s">
        <v>54</v>
      </c>
      <c r="D33" t="s">
        <v>30</v>
      </c>
      <c r="E33" t="s">
        <v>31</v>
      </c>
      <c r="F33" t="s">
        <v>23</v>
      </c>
      <c r="G33" t="s">
        <v>24</v>
      </c>
      <c r="H33">
        <v>26</v>
      </c>
      <c r="I33" s="1">
        <v>44128</v>
      </c>
      <c r="J33" s="2">
        <v>84962</v>
      </c>
      <c r="K33" s="3">
        <v>0</v>
      </c>
      <c r="L33" t="s">
        <v>37</v>
      </c>
      <c r="M33" t="s">
        <v>62</v>
      </c>
      <c r="N33" s="2">
        <f>Employee_Data[[#This Row],[Basic Salary]]*10%</f>
        <v>708.01666666666677</v>
      </c>
      <c r="O33" s="4">
        <f>Employee_Data[[#This Row],[Basic Salary]]*7.5%</f>
        <v>531.01250000000005</v>
      </c>
      <c r="P33" s="2">
        <f>Employee_Data[[#This Row],[Basic Salary]]*3%</f>
        <v>212.405</v>
      </c>
      <c r="Q33" s="2">
        <f>SUM(Employee_Data[[#This Row],[Basic Salary]],Employee_Data[[#This Row],[HRA]],Employee_Data[[#This Row],[MA]],Employee_Data[[#This Row],[TA]])</f>
        <v>8531.6008333333339</v>
      </c>
      <c r="R33" s="4">
        <f>Employee_Data[[#This Row],[Basic Salary]]*12.5%</f>
        <v>885.02083333333337</v>
      </c>
      <c r="S33" s="2">
        <f>Employee_Data[[#This Row],[Annual Salary]]/12</f>
        <v>7080.166666666667</v>
      </c>
    </row>
    <row r="34" spans="1:19" x14ac:dyDescent="0.3">
      <c r="A34" t="s">
        <v>124</v>
      </c>
      <c r="B34" t="s">
        <v>125</v>
      </c>
      <c r="C34" t="s">
        <v>69</v>
      </c>
      <c r="D34" t="s">
        <v>126</v>
      </c>
      <c r="E34" t="s">
        <v>56</v>
      </c>
      <c r="F34" t="s">
        <v>23</v>
      </c>
      <c r="G34" t="s">
        <v>43</v>
      </c>
      <c r="H34">
        <v>55</v>
      </c>
      <c r="I34" s="1">
        <v>43073</v>
      </c>
      <c r="J34" s="2">
        <v>103795</v>
      </c>
      <c r="K34" s="3">
        <v>7.0000000000000007E-2</v>
      </c>
      <c r="L34" t="s">
        <v>25</v>
      </c>
      <c r="M34" t="s">
        <v>44</v>
      </c>
      <c r="N34" s="2">
        <f>Employee_Data[[#This Row],[Basic Salary]]*10%</f>
        <v>864.95833333333348</v>
      </c>
      <c r="O34" s="4">
        <f>Employee_Data[[#This Row],[Basic Salary]]*7.5%</f>
        <v>648.71875</v>
      </c>
      <c r="P34" s="2">
        <f>Employee_Data[[#This Row],[Basic Salary]]*3%</f>
        <v>259.48750000000001</v>
      </c>
      <c r="Q34" s="2">
        <f>SUM(Employee_Data[[#This Row],[Basic Salary]],Employee_Data[[#This Row],[HRA]],Employee_Data[[#This Row],[MA]],Employee_Data[[#This Row],[TA]])</f>
        <v>10422.747916666667</v>
      </c>
      <c r="R34" s="4">
        <f>Employee_Data[[#This Row],[Basic Salary]]*12.5%</f>
        <v>1081.1979166666667</v>
      </c>
      <c r="S34" s="2">
        <f>Employee_Data[[#This Row],[Annual Salary]]/12</f>
        <v>8649.5833333333339</v>
      </c>
    </row>
    <row r="35" spans="1:19" x14ac:dyDescent="0.3">
      <c r="A35" t="s">
        <v>127</v>
      </c>
      <c r="B35" t="s">
        <v>128</v>
      </c>
      <c r="C35" t="s">
        <v>94</v>
      </c>
      <c r="D35" t="s">
        <v>4</v>
      </c>
      <c r="E35" t="s">
        <v>31</v>
      </c>
      <c r="F35" t="s">
        <v>42</v>
      </c>
      <c r="G35" t="s">
        <v>24</v>
      </c>
      <c r="H35">
        <v>32</v>
      </c>
      <c r="I35" s="1">
        <v>43111</v>
      </c>
      <c r="J35" s="2">
        <v>97509</v>
      </c>
      <c r="K35" s="3">
        <v>0</v>
      </c>
      <c r="L35" t="s">
        <v>37</v>
      </c>
      <c r="M35" t="s">
        <v>38</v>
      </c>
      <c r="N35" s="2">
        <f>Employee_Data[[#This Row],[Basic Salary]]*10%</f>
        <v>812.57500000000005</v>
      </c>
      <c r="O35" s="4">
        <f>Employee_Data[[#This Row],[Basic Salary]]*7.5%</f>
        <v>609.43124999999998</v>
      </c>
      <c r="P35" s="2">
        <f>Employee_Data[[#This Row],[Basic Salary]]*3%</f>
        <v>243.77249999999998</v>
      </c>
      <c r="Q35" s="2">
        <f>SUM(Employee_Data[[#This Row],[Basic Salary]],Employee_Data[[#This Row],[HRA]],Employee_Data[[#This Row],[MA]],Employee_Data[[#This Row],[TA]])</f>
        <v>9791.5287499999995</v>
      </c>
      <c r="R35" s="4">
        <f>Employee_Data[[#This Row],[Basic Salary]]*12.5%</f>
        <v>1015.71875</v>
      </c>
      <c r="S35" s="2">
        <f>Employee_Data[[#This Row],[Annual Salary]]/12</f>
        <v>8125.75</v>
      </c>
    </row>
    <row r="36" spans="1:19" x14ac:dyDescent="0.3">
      <c r="A36" t="s">
        <v>129</v>
      </c>
      <c r="B36" t="s">
        <v>130</v>
      </c>
      <c r="C36" t="s">
        <v>131</v>
      </c>
      <c r="D36" t="s">
        <v>126</v>
      </c>
      <c r="E36" t="s">
        <v>56</v>
      </c>
      <c r="F36" t="s">
        <v>23</v>
      </c>
      <c r="G36" t="s">
        <v>66</v>
      </c>
      <c r="H36">
        <v>50</v>
      </c>
      <c r="I36" s="1">
        <v>44811</v>
      </c>
      <c r="J36" s="2">
        <v>54931</v>
      </c>
      <c r="K36" s="3">
        <v>0</v>
      </c>
      <c r="L36" t="s">
        <v>25</v>
      </c>
      <c r="M36" t="s">
        <v>48</v>
      </c>
      <c r="N36" s="2">
        <f>Employee_Data[[#This Row],[Basic Salary]]*10%</f>
        <v>457.75833333333333</v>
      </c>
      <c r="O36" s="4">
        <f>Employee_Data[[#This Row],[Basic Salary]]*7.5%</f>
        <v>343.31874999999997</v>
      </c>
      <c r="P36" s="2">
        <f>Employee_Data[[#This Row],[Basic Salary]]*3%</f>
        <v>137.32749999999999</v>
      </c>
      <c r="Q36" s="2">
        <f>SUM(Employee_Data[[#This Row],[Basic Salary]],Employee_Data[[#This Row],[HRA]],Employee_Data[[#This Row],[MA]],Employee_Data[[#This Row],[TA]])</f>
        <v>5515.9879166666669</v>
      </c>
      <c r="R36" s="4">
        <f>Employee_Data[[#This Row],[Basic Salary]]*12.5%</f>
        <v>572.19791666666663</v>
      </c>
      <c r="S36" s="2">
        <f>Employee_Data[[#This Row],[Annual Salary]]/12</f>
        <v>4577.583333333333</v>
      </c>
    </row>
    <row r="37" spans="1:19" x14ac:dyDescent="0.3">
      <c r="A37" t="s">
        <v>132</v>
      </c>
      <c r="B37" t="s">
        <v>133</v>
      </c>
      <c r="C37" t="s">
        <v>134</v>
      </c>
      <c r="D37" t="s">
        <v>21</v>
      </c>
      <c r="E37" t="s">
        <v>56</v>
      </c>
      <c r="F37" t="s">
        <v>23</v>
      </c>
      <c r="G37" t="s">
        <v>43</v>
      </c>
      <c r="H37">
        <v>54</v>
      </c>
      <c r="I37" s="1">
        <v>40055</v>
      </c>
      <c r="J37" s="2">
        <v>88689</v>
      </c>
      <c r="K37" s="3">
        <v>0</v>
      </c>
      <c r="L37" t="s">
        <v>25</v>
      </c>
      <c r="M37" t="s">
        <v>51</v>
      </c>
      <c r="N37" s="2">
        <f>Employee_Data[[#This Row],[Basic Salary]]*10%</f>
        <v>739.07500000000005</v>
      </c>
      <c r="O37" s="4">
        <f>Employee_Data[[#This Row],[Basic Salary]]*7.5%</f>
        <v>554.30624999999998</v>
      </c>
      <c r="P37" s="2">
        <f>Employee_Data[[#This Row],[Basic Salary]]*3%</f>
        <v>221.7225</v>
      </c>
      <c r="Q37" s="2">
        <f>SUM(Employee_Data[[#This Row],[Basic Salary]],Employee_Data[[#This Row],[HRA]],Employee_Data[[#This Row],[MA]],Employee_Data[[#This Row],[TA]])</f>
        <v>8905.8537500000002</v>
      </c>
      <c r="R37" s="4">
        <f>Employee_Data[[#This Row],[Basic Salary]]*12.5%</f>
        <v>923.84375</v>
      </c>
      <c r="S37" s="2">
        <f>Employee_Data[[#This Row],[Annual Salary]]/12</f>
        <v>7390.75</v>
      </c>
    </row>
    <row r="38" spans="1:19" x14ac:dyDescent="0.3">
      <c r="A38" t="s">
        <v>135</v>
      </c>
      <c r="B38" t="s">
        <v>136</v>
      </c>
      <c r="C38" t="s">
        <v>83</v>
      </c>
      <c r="D38" t="s">
        <v>55</v>
      </c>
      <c r="E38" t="s">
        <v>31</v>
      </c>
      <c r="F38" t="s">
        <v>42</v>
      </c>
      <c r="G38" t="s">
        <v>43</v>
      </c>
      <c r="H38">
        <v>31</v>
      </c>
      <c r="I38" s="1">
        <v>42270</v>
      </c>
      <c r="J38" s="2">
        <v>158184</v>
      </c>
      <c r="K38" s="3">
        <v>0.15</v>
      </c>
      <c r="L38" t="s">
        <v>137</v>
      </c>
      <c r="M38" t="s">
        <v>138</v>
      </c>
      <c r="N38" s="2">
        <f>Employee_Data[[#This Row],[Basic Salary]]*10%</f>
        <v>1318.2</v>
      </c>
      <c r="O38" s="4">
        <f>Employee_Data[[#This Row],[Basic Salary]]*7.5%</f>
        <v>988.65</v>
      </c>
      <c r="P38" s="2">
        <f>Employee_Data[[#This Row],[Basic Salary]]*3%</f>
        <v>395.46</v>
      </c>
      <c r="Q38" s="2">
        <f>SUM(Employee_Data[[#This Row],[Basic Salary]],Employee_Data[[#This Row],[HRA]],Employee_Data[[#This Row],[MA]],Employee_Data[[#This Row],[TA]])</f>
        <v>15884.31</v>
      </c>
      <c r="R38" s="4">
        <f>Employee_Data[[#This Row],[Basic Salary]]*12.5%</f>
        <v>1647.75</v>
      </c>
      <c r="S38" s="2">
        <f>Employee_Data[[#This Row],[Annual Salary]]/12</f>
        <v>13182</v>
      </c>
    </row>
    <row r="39" spans="1:19" x14ac:dyDescent="0.3">
      <c r="A39" t="s">
        <v>139</v>
      </c>
      <c r="B39" t="s">
        <v>140</v>
      </c>
      <c r="C39" t="s">
        <v>29</v>
      </c>
      <c r="D39" t="s">
        <v>80</v>
      </c>
      <c r="E39" t="s">
        <v>36</v>
      </c>
      <c r="F39" t="s">
        <v>23</v>
      </c>
      <c r="G39" t="s">
        <v>66</v>
      </c>
      <c r="H39">
        <v>47</v>
      </c>
      <c r="I39" s="1">
        <v>42410</v>
      </c>
      <c r="J39" s="2">
        <v>48523</v>
      </c>
      <c r="K39" s="3">
        <v>0</v>
      </c>
      <c r="L39" t="s">
        <v>25</v>
      </c>
      <c r="M39" t="s">
        <v>48</v>
      </c>
      <c r="N39" s="2">
        <f>Employee_Data[[#This Row],[Basic Salary]]*10%</f>
        <v>404.35833333333335</v>
      </c>
      <c r="O39" s="4">
        <f>Employee_Data[[#This Row],[Basic Salary]]*7.5%</f>
        <v>303.26875000000001</v>
      </c>
      <c r="P39" s="2">
        <f>Employee_Data[[#This Row],[Basic Salary]]*3%</f>
        <v>121.3075</v>
      </c>
      <c r="Q39" s="2">
        <f>SUM(Employee_Data[[#This Row],[Basic Salary]],Employee_Data[[#This Row],[HRA]],Employee_Data[[#This Row],[MA]],Employee_Data[[#This Row],[TA]])</f>
        <v>4872.5179166666667</v>
      </c>
      <c r="R39" s="4">
        <f>Employee_Data[[#This Row],[Basic Salary]]*12.5%</f>
        <v>505.44791666666669</v>
      </c>
      <c r="S39" s="2">
        <f>Employee_Data[[#This Row],[Annual Salary]]/12</f>
        <v>4043.5833333333335</v>
      </c>
    </row>
    <row r="40" spans="1:19" x14ac:dyDescent="0.3">
      <c r="A40" t="s">
        <v>141</v>
      </c>
      <c r="B40" t="s">
        <v>142</v>
      </c>
      <c r="C40" t="s">
        <v>54</v>
      </c>
      <c r="D40" t="s">
        <v>80</v>
      </c>
      <c r="E40" t="s">
        <v>56</v>
      </c>
      <c r="F40" t="s">
        <v>23</v>
      </c>
      <c r="G40" t="s">
        <v>24</v>
      </c>
      <c r="H40">
        <v>26</v>
      </c>
      <c r="I40" s="1">
        <v>44597</v>
      </c>
      <c r="J40" s="2">
        <v>70946</v>
      </c>
      <c r="K40" s="3">
        <v>0</v>
      </c>
      <c r="L40" t="s">
        <v>37</v>
      </c>
      <c r="M40" t="s">
        <v>38</v>
      </c>
      <c r="N40" s="2">
        <f>Employee_Data[[#This Row],[Basic Salary]]*10%</f>
        <v>591.2166666666667</v>
      </c>
      <c r="O40" s="4">
        <f>Employee_Data[[#This Row],[Basic Salary]]*7.5%</f>
        <v>443.41250000000002</v>
      </c>
      <c r="P40" s="2">
        <f>Employee_Data[[#This Row],[Basic Salary]]*3%</f>
        <v>177.36500000000001</v>
      </c>
      <c r="Q40" s="2">
        <f>SUM(Employee_Data[[#This Row],[Basic Salary]],Employee_Data[[#This Row],[HRA]],Employee_Data[[#This Row],[MA]],Employee_Data[[#This Row],[TA]])</f>
        <v>7124.1608333333334</v>
      </c>
      <c r="R40" s="4">
        <f>Employee_Data[[#This Row],[Basic Salary]]*12.5%</f>
        <v>739.02083333333337</v>
      </c>
      <c r="S40" s="2">
        <f>Employee_Data[[#This Row],[Annual Salary]]/12</f>
        <v>5912.166666666667</v>
      </c>
    </row>
    <row r="41" spans="1:19" x14ac:dyDescent="0.3">
      <c r="A41" t="s">
        <v>143</v>
      </c>
      <c r="B41" t="s">
        <v>144</v>
      </c>
      <c r="C41" t="s">
        <v>83</v>
      </c>
      <c r="D41" t="s">
        <v>61</v>
      </c>
      <c r="E41" t="s">
        <v>56</v>
      </c>
      <c r="F41" t="s">
        <v>42</v>
      </c>
      <c r="G41" t="s">
        <v>24</v>
      </c>
      <c r="H41">
        <v>62</v>
      </c>
      <c r="I41" s="1">
        <v>44513</v>
      </c>
      <c r="J41" s="2">
        <v>134487</v>
      </c>
      <c r="K41" s="3">
        <v>0.1</v>
      </c>
      <c r="L41" t="s">
        <v>25</v>
      </c>
      <c r="M41" t="s">
        <v>44</v>
      </c>
      <c r="N41" s="2">
        <f>Employee_Data[[#This Row],[Basic Salary]]*10%</f>
        <v>1120.7250000000001</v>
      </c>
      <c r="O41" s="4">
        <f>Employee_Data[[#This Row],[Basic Salary]]*7.5%</f>
        <v>840.54374999999993</v>
      </c>
      <c r="P41" s="2">
        <f>Employee_Data[[#This Row],[Basic Salary]]*3%</f>
        <v>336.21749999999997</v>
      </c>
      <c r="Q41" s="2">
        <f>SUM(Employee_Data[[#This Row],[Basic Salary]],Employee_Data[[#This Row],[HRA]],Employee_Data[[#This Row],[MA]],Employee_Data[[#This Row],[TA]])</f>
        <v>13504.736250000002</v>
      </c>
      <c r="R41" s="4">
        <f>Employee_Data[[#This Row],[Basic Salary]]*12.5%</f>
        <v>1400.90625</v>
      </c>
      <c r="S41" s="2">
        <f>Employee_Data[[#This Row],[Annual Salary]]/12</f>
        <v>11207.25</v>
      </c>
    </row>
    <row r="42" spans="1:19" x14ac:dyDescent="0.3">
      <c r="A42" t="s">
        <v>145</v>
      </c>
      <c r="B42" t="s">
        <v>146</v>
      </c>
      <c r="C42" t="s">
        <v>54</v>
      </c>
      <c r="D42" t="s">
        <v>61</v>
      </c>
      <c r="E42" t="s">
        <v>36</v>
      </c>
      <c r="F42" t="s">
        <v>42</v>
      </c>
      <c r="G42" t="s">
        <v>43</v>
      </c>
      <c r="H42">
        <v>35</v>
      </c>
      <c r="I42" s="1">
        <v>41005</v>
      </c>
      <c r="J42" s="2">
        <v>76111</v>
      </c>
      <c r="K42" s="3">
        <v>0</v>
      </c>
      <c r="L42" t="s">
        <v>25</v>
      </c>
      <c r="M42" t="s">
        <v>32</v>
      </c>
      <c r="N42" s="2">
        <f>Employee_Data[[#This Row],[Basic Salary]]*10%</f>
        <v>634.25833333333333</v>
      </c>
      <c r="O42" s="4">
        <f>Employee_Data[[#This Row],[Basic Salary]]*7.5%</f>
        <v>475.69374999999997</v>
      </c>
      <c r="P42" s="2">
        <f>Employee_Data[[#This Row],[Basic Salary]]*3%</f>
        <v>190.27749999999997</v>
      </c>
      <c r="Q42" s="2">
        <f>SUM(Employee_Data[[#This Row],[Basic Salary]],Employee_Data[[#This Row],[HRA]],Employee_Data[[#This Row],[MA]],Employee_Data[[#This Row],[TA]])</f>
        <v>7642.8129166666668</v>
      </c>
      <c r="R42" s="4">
        <f>Employee_Data[[#This Row],[Basic Salary]]*12.5%</f>
        <v>792.82291666666663</v>
      </c>
      <c r="S42" s="2">
        <f>Employee_Data[[#This Row],[Annual Salary]]/12</f>
        <v>6342.583333333333</v>
      </c>
    </row>
    <row r="43" spans="1:19" x14ac:dyDescent="0.3">
      <c r="A43" t="s">
        <v>147</v>
      </c>
      <c r="B43" t="s">
        <v>148</v>
      </c>
      <c r="C43" t="s">
        <v>69</v>
      </c>
      <c r="D43" t="s">
        <v>55</v>
      </c>
      <c r="E43" t="s">
        <v>36</v>
      </c>
      <c r="F43" t="s">
        <v>42</v>
      </c>
      <c r="G43" t="s">
        <v>66</v>
      </c>
      <c r="H43">
        <v>48</v>
      </c>
      <c r="I43" s="1">
        <v>36064</v>
      </c>
      <c r="J43" s="2">
        <v>119220</v>
      </c>
      <c r="K43" s="3">
        <v>0.09</v>
      </c>
      <c r="L43" t="s">
        <v>25</v>
      </c>
      <c r="M43" t="s">
        <v>26</v>
      </c>
      <c r="N43" s="2">
        <f>Employee_Data[[#This Row],[Basic Salary]]*10%</f>
        <v>993.5</v>
      </c>
      <c r="O43" s="4">
        <f>Employee_Data[[#This Row],[Basic Salary]]*7.5%</f>
        <v>745.125</v>
      </c>
      <c r="P43" s="2">
        <f>Employee_Data[[#This Row],[Basic Salary]]*3%</f>
        <v>298.05</v>
      </c>
      <c r="Q43" s="2">
        <f>SUM(Employee_Data[[#This Row],[Basic Salary]],Employee_Data[[#This Row],[HRA]],Employee_Data[[#This Row],[MA]],Employee_Data[[#This Row],[TA]])</f>
        <v>11971.674999999999</v>
      </c>
      <c r="R43" s="4">
        <f>Employee_Data[[#This Row],[Basic Salary]]*12.5%</f>
        <v>1241.875</v>
      </c>
      <c r="S43" s="2">
        <f>Employee_Data[[#This Row],[Annual Salary]]/12</f>
        <v>9935</v>
      </c>
    </row>
    <row r="44" spans="1:19" x14ac:dyDescent="0.3">
      <c r="A44" t="s">
        <v>149</v>
      </c>
      <c r="B44" t="s">
        <v>150</v>
      </c>
      <c r="C44" t="s">
        <v>89</v>
      </c>
      <c r="D44" t="s">
        <v>55</v>
      </c>
      <c r="E44" t="s">
        <v>22</v>
      </c>
      <c r="F44" t="s">
        <v>23</v>
      </c>
      <c r="G44" t="s">
        <v>24</v>
      </c>
      <c r="H44">
        <v>35</v>
      </c>
      <c r="I44" s="1">
        <v>44297</v>
      </c>
      <c r="J44" s="2">
        <v>180858</v>
      </c>
      <c r="K44" s="3">
        <v>0.32</v>
      </c>
      <c r="L44" t="s">
        <v>37</v>
      </c>
      <c r="M44" t="s">
        <v>57</v>
      </c>
      <c r="N44" s="2">
        <f>Employee_Data[[#This Row],[Basic Salary]]*10%</f>
        <v>1507.15</v>
      </c>
      <c r="O44" s="4">
        <f>Employee_Data[[#This Row],[Basic Salary]]*7.5%</f>
        <v>1130.3625</v>
      </c>
      <c r="P44" s="2">
        <f>Employee_Data[[#This Row],[Basic Salary]]*3%</f>
        <v>452.14499999999998</v>
      </c>
      <c r="Q44" s="2">
        <f>SUM(Employee_Data[[#This Row],[Basic Salary]],Employee_Data[[#This Row],[HRA]],Employee_Data[[#This Row],[MA]],Employee_Data[[#This Row],[TA]])</f>
        <v>18161.157500000001</v>
      </c>
      <c r="R44" s="4">
        <f>Employee_Data[[#This Row],[Basic Salary]]*12.5%</f>
        <v>1883.9375</v>
      </c>
      <c r="S44" s="2">
        <f>Employee_Data[[#This Row],[Annual Salary]]/12</f>
        <v>15071.5</v>
      </c>
    </row>
    <row r="45" spans="1:19" x14ac:dyDescent="0.3">
      <c r="A45" t="s">
        <v>151</v>
      </c>
      <c r="B45" t="s">
        <v>152</v>
      </c>
      <c r="C45" t="s">
        <v>69</v>
      </c>
      <c r="D45" t="s">
        <v>55</v>
      </c>
      <c r="E45" t="s">
        <v>56</v>
      </c>
      <c r="F45" t="s">
        <v>42</v>
      </c>
      <c r="G45" t="s">
        <v>24</v>
      </c>
      <c r="H45">
        <v>45</v>
      </c>
      <c r="I45" s="1">
        <v>38666</v>
      </c>
      <c r="J45" s="2">
        <v>114072</v>
      </c>
      <c r="K45" s="3">
        <v>0.08</v>
      </c>
      <c r="L45" t="s">
        <v>25</v>
      </c>
      <c r="M45" t="s">
        <v>51</v>
      </c>
      <c r="N45" s="2">
        <f>Employee_Data[[#This Row],[Basic Salary]]*10%</f>
        <v>950.6</v>
      </c>
      <c r="O45" s="4">
        <f>Employee_Data[[#This Row],[Basic Salary]]*7.5%</f>
        <v>712.94999999999993</v>
      </c>
      <c r="P45" s="2">
        <f>Employee_Data[[#This Row],[Basic Salary]]*3%</f>
        <v>285.18</v>
      </c>
      <c r="Q45" s="2">
        <f>SUM(Employee_Data[[#This Row],[Basic Salary]],Employee_Data[[#This Row],[HRA]],Employee_Data[[#This Row],[MA]],Employee_Data[[#This Row],[TA]])</f>
        <v>11454.730000000001</v>
      </c>
      <c r="R45" s="4">
        <f>Employee_Data[[#This Row],[Basic Salary]]*12.5%</f>
        <v>1188.25</v>
      </c>
      <c r="S45" s="2">
        <f>Employee_Data[[#This Row],[Annual Salary]]/12</f>
        <v>9506</v>
      </c>
    </row>
    <row r="46" spans="1:19" x14ac:dyDescent="0.3">
      <c r="A46" t="s">
        <v>153</v>
      </c>
      <c r="B46" t="s">
        <v>154</v>
      </c>
      <c r="C46" t="s">
        <v>134</v>
      </c>
      <c r="D46" t="s">
        <v>21</v>
      </c>
      <c r="E46" t="s">
        <v>36</v>
      </c>
      <c r="F46" t="s">
        <v>42</v>
      </c>
      <c r="G46" t="s">
        <v>24</v>
      </c>
      <c r="H46">
        <v>26</v>
      </c>
      <c r="I46" s="1">
        <v>44373</v>
      </c>
      <c r="J46" s="2">
        <v>91672</v>
      </c>
      <c r="K46" s="3">
        <v>0</v>
      </c>
      <c r="L46" t="s">
        <v>37</v>
      </c>
      <c r="M46" t="s">
        <v>111</v>
      </c>
      <c r="N46" s="2">
        <f>Employee_Data[[#This Row],[Basic Salary]]*10%</f>
        <v>763.93333333333339</v>
      </c>
      <c r="O46" s="4">
        <f>Employee_Data[[#This Row],[Basic Salary]]*7.5%</f>
        <v>572.94999999999993</v>
      </c>
      <c r="P46" s="2">
        <f>Employee_Data[[#This Row],[Basic Salary]]*3%</f>
        <v>229.17999999999998</v>
      </c>
      <c r="Q46" s="2">
        <f>SUM(Employee_Data[[#This Row],[Basic Salary]],Employee_Data[[#This Row],[HRA]],Employee_Data[[#This Row],[MA]],Employee_Data[[#This Row],[TA]])</f>
        <v>9205.3966666666674</v>
      </c>
      <c r="R46" s="4">
        <f>Employee_Data[[#This Row],[Basic Salary]]*12.5%</f>
        <v>954.91666666666663</v>
      </c>
      <c r="S46" s="2">
        <f>Employee_Data[[#This Row],[Annual Salary]]/12</f>
        <v>7639.333333333333</v>
      </c>
    </row>
    <row r="47" spans="1:19" x14ac:dyDescent="0.3">
      <c r="A47" t="s">
        <v>155</v>
      </c>
      <c r="B47" t="s">
        <v>156</v>
      </c>
      <c r="C47" t="s">
        <v>60</v>
      </c>
      <c r="D47" t="s">
        <v>80</v>
      </c>
      <c r="E47" t="s">
        <v>31</v>
      </c>
      <c r="F47" t="s">
        <v>42</v>
      </c>
      <c r="G47" t="s">
        <v>43</v>
      </c>
      <c r="H47">
        <v>48</v>
      </c>
      <c r="I47" s="1">
        <v>38378</v>
      </c>
      <c r="J47" s="2">
        <v>71542</v>
      </c>
      <c r="K47" s="3">
        <v>0</v>
      </c>
      <c r="L47" t="s">
        <v>25</v>
      </c>
      <c r="M47" t="s">
        <v>32</v>
      </c>
      <c r="N47" s="2">
        <f>Employee_Data[[#This Row],[Basic Salary]]*10%</f>
        <v>596.18333333333328</v>
      </c>
      <c r="O47" s="4">
        <f>Employee_Data[[#This Row],[Basic Salary]]*7.5%</f>
        <v>447.13749999999999</v>
      </c>
      <c r="P47" s="2">
        <f>Employee_Data[[#This Row],[Basic Salary]]*3%</f>
        <v>178.85499999999999</v>
      </c>
      <c r="Q47" s="2">
        <f>SUM(Employee_Data[[#This Row],[Basic Salary]],Employee_Data[[#This Row],[HRA]],Employee_Data[[#This Row],[MA]],Employee_Data[[#This Row],[TA]])</f>
        <v>7184.0091666666658</v>
      </c>
      <c r="R47" s="4">
        <f>Employee_Data[[#This Row],[Basic Salary]]*12.5%</f>
        <v>745.22916666666663</v>
      </c>
      <c r="S47" s="2">
        <f>Employee_Data[[#This Row],[Annual Salary]]/12</f>
        <v>5961.833333333333</v>
      </c>
    </row>
    <row r="48" spans="1:19" x14ac:dyDescent="0.3">
      <c r="A48" t="s">
        <v>157</v>
      </c>
      <c r="B48" t="s">
        <v>158</v>
      </c>
      <c r="C48" t="s">
        <v>159</v>
      </c>
      <c r="D48" t="s">
        <v>4</v>
      </c>
      <c r="E48" t="s">
        <v>56</v>
      </c>
      <c r="F48" t="s">
        <v>23</v>
      </c>
      <c r="G48" t="s">
        <v>66</v>
      </c>
      <c r="H48">
        <v>33</v>
      </c>
      <c r="I48" s="1">
        <v>42722</v>
      </c>
      <c r="J48" s="2">
        <v>54700</v>
      </c>
      <c r="K48" s="3">
        <v>0</v>
      </c>
      <c r="L48" t="s">
        <v>25</v>
      </c>
      <c r="M48" t="s">
        <v>70</v>
      </c>
      <c r="N48" s="2">
        <f>Employee_Data[[#This Row],[Basic Salary]]*10%</f>
        <v>455.83333333333331</v>
      </c>
      <c r="O48" s="4">
        <f>Employee_Data[[#This Row],[Basic Salary]]*7.5%</f>
        <v>341.87499999999994</v>
      </c>
      <c r="P48" s="2">
        <f>Employee_Data[[#This Row],[Basic Salary]]*3%</f>
        <v>136.75</v>
      </c>
      <c r="Q48" s="2">
        <f>SUM(Employee_Data[[#This Row],[Basic Salary]],Employee_Data[[#This Row],[HRA]],Employee_Data[[#This Row],[MA]],Employee_Data[[#This Row],[TA]])</f>
        <v>5492.7916666666661</v>
      </c>
      <c r="R48" s="4">
        <f>Employee_Data[[#This Row],[Basic Salary]]*12.5%</f>
        <v>569.79166666666663</v>
      </c>
      <c r="S48" s="2">
        <f>Employee_Data[[#This Row],[Annual Salary]]/12</f>
        <v>4558.333333333333</v>
      </c>
    </row>
    <row r="49" spans="1:19" x14ac:dyDescent="0.3">
      <c r="A49" t="s">
        <v>160</v>
      </c>
      <c r="B49" t="s">
        <v>161</v>
      </c>
      <c r="C49" t="s">
        <v>60</v>
      </c>
      <c r="D49" t="s">
        <v>30</v>
      </c>
      <c r="E49" t="s">
        <v>31</v>
      </c>
      <c r="F49" t="s">
        <v>23</v>
      </c>
      <c r="G49" t="s">
        <v>24</v>
      </c>
      <c r="H49">
        <v>55</v>
      </c>
      <c r="I49" s="1">
        <v>40671</v>
      </c>
      <c r="J49" s="2">
        <v>65022</v>
      </c>
      <c r="K49" s="3">
        <v>0</v>
      </c>
      <c r="L49" t="s">
        <v>37</v>
      </c>
      <c r="M49" t="s">
        <v>57</v>
      </c>
      <c r="N49" s="2">
        <f>Employee_Data[[#This Row],[Basic Salary]]*10%</f>
        <v>541.85</v>
      </c>
      <c r="O49" s="4">
        <f>Employee_Data[[#This Row],[Basic Salary]]*7.5%</f>
        <v>406.38749999999999</v>
      </c>
      <c r="P49" s="2">
        <f>Employee_Data[[#This Row],[Basic Salary]]*3%</f>
        <v>162.55500000000001</v>
      </c>
      <c r="Q49" s="2">
        <f>SUM(Employee_Data[[#This Row],[Basic Salary]],Employee_Data[[#This Row],[HRA]],Employee_Data[[#This Row],[MA]],Employee_Data[[#This Row],[TA]])</f>
        <v>6529.2925000000005</v>
      </c>
      <c r="R49" s="4">
        <f>Employee_Data[[#This Row],[Basic Salary]]*12.5%</f>
        <v>677.3125</v>
      </c>
      <c r="S49" s="2">
        <f>Employee_Data[[#This Row],[Annual Salary]]/12</f>
        <v>5418.5</v>
      </c>
    </row>
    <row r="50" spans="1:19" x14ac:dyDescent="0.3">
      <c r="A50" t="s">
        <v>162</v>
      </c>
      <c r="B50" t="s">
        <v>163</v>
      </c>
      <c r="C50" t="s">
        <v>164</v>
      </c>
      <c r="D50" t="s">
        <v>4</v>
      </c>
      <c r="E50" t="s">
        <v>36</v>
      </c>
      <c r="F50" t="s">
        <v>23</v>
      </c>
      <c r="G50" t="s">
        <v>24</v>
      </c>
      <c r="H50">
        <v>38</v>
      </c>
      <c r="I50" s="1">
        <v>40645</v>
      </c>
      <c r="J50" s="2">
        <v>65109</v>
      </c>
      <c r="K50" s="3">
        <v>0</v>
      </c>
      <c r="L50" t="s">
        <v>25</v>
      </c>
      <c r="M50" t="s">
        <v>51</v>
      </c>
      <c r="N50" s="2">
        <f>Employee_Data[[#This Row],[Basic Salary]]*10%</f>
        <v>542.57500000000005</v>
      </c>
      <c r="O50" s="4">
        <f>Employee_Data[[#This Row],[Basic Salary]]*7.5%</f>
        <v>406.93124999999998</v>
      </c>
      <c r="P50" s="2">
        <f>Employee_Data[[#This Row],[Basic Salary]]*3%</f>
        <v>162.77250000000001</v>
      </c>
      <c r="Q50" s="2">
        <f>SUM(Employee_Data[[#This Row],[Basic Salary]],Employee_Data[[#This Row],[HRA]],Employee_Data[[#This Row],[MA]],Employee_Data[[#This Row],[TA]])</f>
        <v>6538.0287499999995</v>
      </c>
      <c r="R50" s="4">
        <f>Employee_Data[[#This Row],[Basic Salary]]*12.5%</f>
        <v>678.21875</v>
      </c>
      <c r="S50" s="2">
        <f>Employee_Data[[#This Row],[Annual Salary]]/12</f>
        <v>5425.75</v>
      </c>
    </row>
    <row r="51" spans="1:19" x14ac:dyDescent="0.3">
      <c r="A51" t="s">
        <v>165</v>
      </c>
      <c r="B51" t="s">
        <v>166</v>
      </c>
      <c r="C51" t="s">
        <v>69</v>
      </c>
      <c r="D51" t="s">
        <v>55</v>
      </c>
      <c r="E51" t="s">
        <v>56</v>
      </c>
      <c r="F51" t="s">
        <v>42</v>
      </c>
      <c r="G51" t="s">
        <v>24</v>
      </c>
      <c r="H51">
        <v>49</v>
      </c>
      <c r="I51" s="1">
        <v>44562</v>
      </c>
      <c r="J51" s="2">
        <v>126598</v>
      </c>
      <c r="K51" s="3">
        <v>0.09</v>
      </c>
      <c r="L51" t="s">
        <v>25</v>
      </c>
      <c r="M51" t="s">
        <v>70</v>
      </c>
      <c r="N51" s="2">
        <f>Employee_Data[[#This Row],[Basic Salary]]*10%</f>
        <v>1054.9833333333333</v>
      </c>
      <c r="O51" s="4">
        <f>Employee_Data[[#This Row],[Basic Salary]]*7.5%</f>
        <v>791.23750000000007</v>
      </c>
      <c r="P51" s="2">
        <f>Employee_Data[[#This Row],[Basic Salary]]*3%</f>
        <v>316.495</v>
      </c>
      <c r="Q51" s="2">
        <f>SUM(Employee_Data[[#This Row],[Basic Salary]],Employee_Data[[#This Row],[HRA]],Employee_Data[[#This Row],[MA]],Employee_Data[[#This Row],[TA]])</f>
        <v>12712.549166666668</v>
      </c>
      <c r="R51" s="4">
        <f>Employee_Data[[#This Row],[Basic Salary]]*12.5%</f>
        <v>1318.7291666666667</v>
      </c>
      <c r="S51" s="2">
        <f>Employee_Data[[#This Row],[Annual Salary]]/12</f>
        <v>10549.833333333334</v>
      </c>
    </row>
    <row r="52" spans="1:19" x14ac:dyDescent="0.3">
      <c r="A52" t="s">
        <v>167</v>
      </c>
      <c r="B52" t="s">
        <v>168</v>
      </c>
      <c r="C52" t="s">
        <v>164</v>
      </c>
      <c r="D52" t="s">
        <v>4</v>
      </c>
      <c r="E52" t="s">
        <v>31</v>
      </c>
      <c r="F52" t="s">
        <v>42</v>
      </c>
      <c r="G52" t="s">
        <v>43</v>
      </c>
      <c r="H52">
        <v>52</v>
      </c>
      <c r="I52" s="1">
        <v>43258</v>
      </c>
      <c r="J52" s="2">
        <v>72388</v>
      </c>
      <c r="K52" s="3">
        <v>0</v>
      </c>
      <c r="L52" t="s">
        <v>25</v>
      </c>
      <c r="M52" t="s">
        <v>70</v>
      </c>
      <c r="N52" s="2">
        <f>Employee_Data[[#This Row],[Basic Salary]]*10%</f>
        <v>603.23333333333335</v>
      </c>
      <c r="O52" s="4">
        <f>Employee_Data[[#This Row],[Basic Salary]]*7.5%</f>
        <v>452.42499999999995</v>
      </c>
      <c r="P52" s="2">
        <f>Employee_Data[[#This Row],[Basic Salary]]*3%</f>
        <v>180.96999999999997</v>
      </c>
      <c r="Q52" s="2">
        <f>SUM(Employee_Data[[#This Row],[Basic Salary]],Employee_Data[[#This Row],[HRA]],Employee_Data[[#This Row],[MA]],Employee_Data[[#This Row],[TA]])</f>
        <v>7268.961666666667</v>
      </c>
      <c r="R52" s="4">
        <f>Employee_Data[[#This Row],[Basic Salary]]*12.5%</f>
        <v>754.04166666666663</v>
      </c>
      <c r="S52" s="2">
        <f>Employee_Data[[#This Row],[Annual Salary]]/12</f>
        <v>6032.333333333333</v>
      </c>
    </row>
    <row r="53" spans="1:19" x14ac:dyDescent="0.3">
      <c r="A53" t="s">
        <v>169</v>
      </c>
      <c r="B53" t="s">
        <v>170</v>
      </c>
      <c r="C53" t="s">
        <v>89</v>
      </c>
      <c r="D53" t="s">
        <v>61</v>
      </c>
      <c r="E53" t="s">
        <v>31</v>
      </c>
      <c r="F53" t="s">
        <v>23</v>
      </c>
      <c r="G53" t="s">
        <v>24</v>
      </c>
      <c r="H53">
        <v>27</v>
      </c>
      <c r="I53" s="1">
        <v>44334</v>
      </c>
      <c r="J53" s="2">
        <v>205216</v>
      </c>
      <c r="K53" s="3">
        <v>0.36</v>
      </c>
      <c r="L53" t="s">
        <v>25</v>
      </c>
      <c r="M53" t="s">
        <v>32</v>
      </c>
      <c r="N53" s="2">
        <f>Employee_Data[[#This Row],[Basic Salary]]*10%</f>
        <v>1710.1333333333332</v>
      </c>
      <c r="O53" s="4">
        <f>Employee_Data[[#This Row],[Basic Salary]]*7.5%</f>
        <v>1282.5999999999999</v>
      </c>
      <c r="P53" s="2">
        <f>Employee_Data[[#This Row],[Basic Salary]]*3%</f>
        <v>513.04</v>
      </c>
      <c r="Q53" s="2">
        <f>SUM(Employee_Data[[#This Row],[Basic Salary]],Employee_Data[[#This Row],[HRA]],Employee_Data[[#This Row],[MA]],Employee_Data[[#This Row],[TA]])</f>
        <v>20607.106666666667</v>
      </c>
      <c r="R53" s="4">
        <f>Employee_Data[[#This Row],[Basic Salary]]*12.5%</f>
        <v>2137.6666666666665</v>
      </c>
      <c r="S53" s="2">
        <f>Employee_Data[[#This Row],[Annual Salary]]/12</f>
        <v>17101.333333333332</v>
      </c>
    </row>
    <row r="54" spans="1:19" x14ac:dyDescent="0.3">
      <c r="A54" t="s">
        <v>171</v>
      </c>
      <c r="B54" t="s">
        <v>172</v>
      </c>
      <c r="C54" t="s">
        <v>173</v>
      </c>
      <c r="D54" t="s">
        <v>4</v>
      </c>
      <c r="E54" t="s">
        <v>56</v>
      </c>
      <c r="F54" t="s">
        <v>23</v>
      </c>
      <c r="G54" t="s">
        <v>66</v>
      </c>
      <c r="H54">
        <v>34</v>
      </c>
      <c r="I54" s="1">
        <v>41256</v>
      </c>
      <c r="J54" s="2">
        <v>74004</v>
      </c>
      <c r="K54" s="3">
        <v>0</v>
      </c>
      <c r="L54" t="s">
        <v>25</v>
      </c>
      <c r="M54" t="s">
        <v>26</v>
      </c>
      <c r="N54" s="2">
        <f>Employee_Data[[#This Row],[Basic Salary]]*10%</f>
        <v>616.70000000000005</v>
      </c>
      <c r="O54" s="4">
        <f>Employee_Data[[#This Row],[Basic Salary]]*7.5%</f>
        <v>462.52499999999998</v>
      </c>
      <c r="P54" s="2">
        <f>Employee_Data[[#This Row],[Basic Salary]]*3%</f>
        <v>185.01</v>
      </c>
      <c r="Q54" s="2">
        <f>SUM(Employee_Data[[#This Row],[Basic Salary]],Employee_Data[[#This Row],[HRA]],Employee_Data[[#This Row],[MA]],Employee_Data[[#This Row],[TA]])</f>
        <v>7431.2349999999997</v>
      </c>
      <c r="R54" s="4">
        <f>Employee_Data[[#This Row],[Basic Salary]]*12.5%</f>
        <v>770.875</v>
      </c>
      <c r="S54" s="2">
        <f>Employee_Data[[#This Row],[Annual Salary]]/12</f>
        <v>6167</v>
      </c>
    </row>
    <row r="55" spans="1:19" x14ac:dyDescent="0.3">
      <c r="A55" t="s">
        <v>174</v>
      </c>
      <c r="B55" t="s">
        <v>175</v>
      </c>
      <c r="C55" t="s">
        <v>89</v>
      </c>
      <c r="D55" t="s">
        <v>21</v>
      </c>
      <c r="E55" t="s">
        <v>31</v>
      </c>
      <c r="F55" t="s">
        <v>42</v>
      </c>
      <c r="G55" t="s">
        <v>66</v>
      </c>
      <c r="H55">
        <v>65</v>
      </c>
      <c r="I55" s="1">
        <v>37098</v>
      </c>
      <c r="J55" s="2">
        <v>203030</v>
      </c>
      <c r="K55" s="3">
        <v>0.31</v>
      </c>
      <c r="L55" t="s">
        <v>25</v>
      </c>
      <c r="M55" t="s">
        <v>32</v>
      </c>
      <c r="N55" s="2">
        <f>Employee_Data[[#This Row],[Basic Salary]]*10%</f>
        <v>1691.916666666667</v>
      </c>
      <c r="O55" s="4">
        <f>Employee_Data[[#This Row],[Basic Salary]]*7.5%</f>
        <v>1268.9375</v>
      </c>
      <c r="P55" s="2">
        <f>Employee_Data[[#This Row],[Basic Salary]]*3%</f>
        <v>507.57500000000005</v>
      </c>
      <c r="Q55" s="2">
        <f>SUM(Employee_Data[[#This Row],[Basic Salary]],Employee_Data[[#This Row],[HRA]],Employee_Data[[#This Row],[MA]],Employee_Data[[#This Row],[TA]])</f>
        <v>20387.595833333336</v>
      </c>
      <c r="R55" s="4">
        <f>Employee_Data[[#This Row],[Basic Salary]]*12.5%</f>
        <v>2114.8958333333335</v>
      </c>
      <c r="S55" s="2">
        <f>Employee_Data[[#This Row],[Annual Salary]]/12</f>
        <v>16919.166666666668</v>
      </c>
    </row>
    <row r="56" spans="1:19" x14ac:dyDescent="0.3">
      <c r="A56" t="s">
        <v>176</v>
      </c>
      <c r="B56" t="s">
        <v>177</v>
      </c>
      <c r="C56" t="s">
        <v>47</v>
      </c>
      <c r="D56" t="s">
        <v>30</v>
      </c>
      <c r="E56" t="s">
        <v>56</v>
      </c>
      <c r="F56" t="s">
        <v>42</v>
      </c>
      <c r="G56" t="s">
        <v>43</v>
      </c>
      <c r="H56">
        <v>38</v>
      </c>
      <c r="I56" s="1">
        <v>42500</v>
      </c>
      <c r="J56" s="2">
        <v>194864</v>
      </c>
      <c r="K56" s="3">
        <v>0.24</v>
      </c>
      <c r="L56" t="s">
        <v>25</v>
      </c>
      <c r="M56" t="s">
        <v>48</v>
      </c>
      <c r="N56" s="2">
        <f>Employee_Data[[#This Row],[Basic Salary]]*10%</f>
        <v>1623.8666666666668</v>
      </c>
      <c r="O56" s="4">
        <f>Employee_Data[[#This Row],[Basic Salary]]*7.5%</f>
        <v>1217.8999999999999</v>
      </c>
      <c r="P56" s="2">
        <f>Employee_Data[[#This Row],[Basic Salary]]*3%</f>
        <v>487.15999999999997</v>
      </c>
      <c r="Q56" s="2">
        <f>SUM(Employee_Data[[#This Row],[Basic Salary]],Employee_Data[[#This Row],[HRA]],Employee_Data[[#This Row],[MA]],Employee_Data[[#This Row],[TA]])</f>
        <v>19567.593333333334</v>
      </c>
      <c r="R56" s="4">
        <f>Employee_Data[[#This Row],[Basic Salary]]*12.5%</f>
        <v>2029.8333333333333</v>
      </c>
      <c r="S56" s="2">
        <f>Employee_Data[[#This Row],[Annual Salary]]/12</f>
        <v>16238.666666666666</v>
      </c>
    </row>
    <row r="57" spans="1:19" x14ac:dyDescent="0.3">
      <c r="A57" t="s">
        <v>178</v>
      </c>
      <c r="B57" t="s">
        <v>179</v>
      </c>
      <c r="C57" t="s">
        <v>180</v>
      </c>
      <c r="D57" t="s">
        <v>4</v>
      </c>
      <c r="E57" t="s">
        <v>22</v>
      </c>
      <c r="F57" t="s">
        <v>42</v>
      </c>
      <c r="G57" t="s">
        <v>24</v>
      </c>
      <c r="H57">
        <v>63</v>
      </c>
      <c r="I57" s="1">
        <v>37283</v>
      </c>
      <c r="J57" s="2">
        <v>76659</v>
      </c>
      <c r="K57" s="3">
        <v>0.05</v>
      </c>
      <c r="L57" t="s">
        <v>25</v>
      </c>
      <c r="M57" t="s">
        <v>51</v>
      </c>
      <c r="N57" s="2">
        <f>Employee_Data[[#This Row],[Basic Salary]]*10%</f>
        <v>638.82500000000005</v>
      </c>
      <c r="O57" s="4">
        <f>Employee_Data[[#This Row],[Basic Salary]]*7.5%</f>
        <v>479.11874999999998</v>
      </c>
      <c r="P57" s="2">
        <f>Employee_Data[[#This Row],[Basic Salary]]*3%</f>
        <v>191.64749999999998</v>
      </c>
      <c r="Q57" s="2">
        <f>SUM(Employee_Data[[#This Row],[Basic Salary]],Employee_Data[[#This Row],[HRA]],Employee_Data[[#This Row],[MA]],Employee_Data[[#This Row],[TA]])</f>
        <v>7697.8412499999995</v>
      </c>
      <c r="R57" s="4">
        <f>Employee_Data[[#This Row],[Basic Salary]]*12.5%</f>
        <v>798.53125</v>
      </c>
      <c r="S57" s="2">
        <f>Employee_Data[[#This Row],[Annual Salary]]/12</f>
        <v>6388.25</v>
      </c>
    </row>
    <row r="58" spans="1:19" x14ac:dyDescent="0.3">
      <c r="A58" t="s">
        <v>181</v>
      </c>
      <c r="B58" t="s">
        <v>182</v>
      </c>
      <c r="C58" t="s">
        <v>69</v>
      </c>
      <c r="D58" t="s">
        <v>30</v>
      </c>
      <c r="E58" t="s">
        <v>31</v>
      </c>
      <c r="F58" t="s">
        <v>23</v>
      </c>
      <c r="G58" t="s">
        <v>43</v>
      </c>
      <c r="H58">
        <v>42</v>
      </c>
      <c r="I58" s="1">
        <v>38513</v>
      </c>
      <c r="J58" s="2">
        <v>101630</v>
      </c>
      <c r="K58" s="3">
        <v>0.08</v>
      </c>
      <c r="L58" t="s">
        <v>137</v>
      </c>
      <c r="M58" t="s">
        <v>183</v>
      </c>
      <c r="N58" s="2">
        <f>Employee_Data[[#This Row],[Basic Salary]]*10%</f>
        <v>846.91666666666663</v>
      </c>
      <c r="O58" s="4">
        <f>Employee_Data[[#This Row],[Basic Salary]]*7.5%</f>
        <v>635.18749999999989</v>
      </c>
      <c r="P58" s="2">
        <f>Employee_Data[[#This Row],[Basic Salary]]*3%</f>
        <v>254.07499999999996</v>
      </c>
      <c r="Q58" s="2">
        <f>SUM(Employee_Data[[#This Row],[Basic Salary]],Employee_Data[[#This Row],[HRA]],Employee_Data[[#This Row],[MA]],Employee_Data[[#This Row],[TA]])</f>
        <v>10205.345833333333</v>
      </c>
      <c r="R58" s="4">
        <f>Employee_Data[[#This Row],[Basic Salary]]*12.5%</f>
        <v>1058.6458333333333</v>
      </c>
      <c r="S58" s="2">
        <f>Employee_Data[[#This Row],[Annual Salary]]/12</f>
        <v>8469.1666666666661</v>
      </c>
    </row>
    <row r="59" spans="1:19" x14ac:dyDescent="0.3">
      <c r="A59" t="s">
        <v>184</v>
      </c>
      <c r="B59" t="s">
        <v>185</v>
      </c>
      <c r="C59" t="s">
        <v>83</v>
      </c>
      <c r="D59" t="s">
        <v>30</v>
      </c>
      <c r="E59" t="s">
        <v>36</v>
      </c>
      <c r="F59" t="s">
        <v>42</v>
      </c>
      <c r="G59" t="s">
        <v>43</v>
      </c>
      <c r="H59">
        <v>60</v>
      </c>
      <c r="I59" s="1">
        <v>34297</v>
      </c>
      <c r="J59" s="2">
        <v>126929</v>
      </c>
      <c r="K59" s="3">
        <v>0.12</v>
      </c>
      <c r="L59" t="s">
        <v>137</v>
      </c>
      <c r="M59" t="s">
        <v>183</v>
      </c>
      <c r="N59" s="2">
        <f>Employee_Data[[#This Row],[Basic Salary]]*10%</f>
        <v>1057.7416666666666</v>
      </c>
      <c r="O59" s="4">
        <f>Employee_Data[[#This Row],[Basic Salary]]*7.5%</f>
        <v>793.30624999999998</v>
      </c>
      <c r="P59" s="2">
        <f>Employee_Data[[#This Row],[Basic Salary]]*3%</f>
        <v>317.32249999999999</v>
      </c>
      <c r="Q59" s="2">
        <f>SUM(Employee_Data[[#This Row],[Basic Salary]],Employee_Data[[#This Row],[HRA]],Employee_Data[[#This Row],[MA]],Employee_Data[[#This Row],[TA]])</f>
        <v>12745.787083333333</v>
      </c>
      <c r="R59" s="4">
        <f>Employee_Data[[#This Row],[Basic Salary]]*12.5%</f>
        <v>1322.1770833333333</v>
      </c>
      <c r="S59" s="2">
        <f>Employee_Data[[#This Row],[Annual Salary]]/12</f>
        <v>10577.416666666666</v>
      </c>
    </row>
    <row r="60" spans="1:19" x14ac:dyDescent="0.3">
      <c r="A60" t="s">
        <v>186</v>
      </c>
      <c r="B60" t="s">
        <v>187</v>
      </c>
      <c r="C60" t="s">
        <v>47</v>
      </c>
      <c r="D60" t="s">
        <v>30</v>
      </c>
      <c r="E60" t="s">
        <v>22</v>
      </c>
      <c r="F60" t="s">
        <v>23</v>
      </c>
      <c r="G60" t="s">
        <v>24</v>
      </c>
      <c r="H60">
        <v>47</v>
      </c>
      <c r="I60" s="1">
        <v>36490</v>
      </c>
      <c r="J60" s="2">
        <v>155890</v>
      </c>
      <c r="K60" s="3">
        <v>0.17</v>
      </c>
      <c r="L60" t="s">
        <v>25</v>
      </c>
      <c r="M60" t="s">
        <v>26</v>
      </c>
      <c r="N60" s="2">
        <f>Employee_Data[[#This Row],[Basic Salary]]*10%</f>
        <v>1299.0833333333335</v>
      </c>
      <c r="O60" s="4">
        <f>Employee_Data[[#This Row],[Basic Salary]]*7.5%</f>
        <v>974.3125</v>
      </c>
      <c r="P60" s="2">
        <f>Employee_Data[[#This Row],[Basic Salary]]*3%</f>
        <v>389.72500000000002</v>
      </c>
      <c r="Q60" s="2">
        <f>SUM(Employee_Data[[#This Row],[Basic Salary]],Employee_Data[[#This Row],[HRA]],Employee_Data[[#This Row],[MA]],Employee_Data[[#This Row],[TA]])</f>
        <v>15653.954166666668</v>
      </c>
      <c r="R60" s="4">
        <f>Employee_Data[[#This Row],[Basic Salary]]*12.5%</f>
        <v>1623.8541666666667</v>
      </c>
      <c r="S60" s="2">
        <f>Employee_Data[[#This Row],[Annual Salary]]/12</f>
        <v>12990.833333333334</v>
      </c>
    </row>
    <row r="61" spans="1:19" x14ac:dyDescent="0.3">
      <c r="A61" t="s">
        <v>188</v>
      </c>
      <c r="B61" t="s">
        <v>189</v>
      </c>
      <c r="C61" t="s">
        <v>47</v>
      </c>
      <c r="D61" t="s">
        <v>61</v>
      </c>
      <c r="E61" t="s">
        <v>31</v>
      </c>
      <c r="F61" t="s">
        <v>23</v>
      </c>
      <c r="G61" t="s">
        <v>24</v>
      </c>
      <c r="H61">
        <v>50</v>
      </c>
      <c r="I61" s="1">
        <v>43740</v>
      </c>
      <c r="J61" s="2">
        <v>150631</v>
      </c>
      <c r="K61" s="3">
        <v>0.17</v>
      </c>
      <c r="L61" t="s">
        <v>25</v>
      </c>
      <c r="M61" t="s">
        <v>51</v>
      </c>
      <c r="N61" s="2">
        <f>Employee_Data[[#This Row],[Basic Salary]]*10%</f>
        <v>1255.2583333333334</v>
      </c>
      <c r="O61" s="4">
        <f>Employee_Data[[#This Row],[Basic Salary]]*7.5%</f>
        <v>941.44375000000002</v>
      </c>
      <c r="P61" s="2">
        <f>Employee_Data[[#This Row],[Basic Salary]]*3%</f>
        <v>376.57749999999999</v>
      </c>
      <c r="Q61" s="2">
        <f>SUM(Employee_Data[[#This Row],[Basic Salary]],Employee_Data[[#This Row],[HRA]],Employee_Data[[#This Row],[MA]],Employee_Data[[#This Row],[TA]])</f>
        <v>15125.862916666667</v>
      </c>
      <c r="R61" s="4">
        <f>Employee_Data[[#This Row],[Basic Salary]]*12.5%</f>
        <v>1569.0729166666667</v>
      </c>
      <c r="S61" s="2">
        <f>Employee_Data[[#This Row],[Annual Salary]]/12</f>
        <v>12552.583333333334</v>
      </c>
    </row>
    <row r="62" spans="1:19" x14ac:dyDescent="0.3">
      <c r="A62" t="s">
        <v>190</v>
      </c>
      <c r="B62" t="s">
        <v>191</v>
      </c>
      <c r="C62" t="s">
        <v>54</v>
      </c>
      <c r="D62" t="s">
        <v>30</v>
      </c>
      <c r="E62" t="s">
        <v>56</v>
      </c>
      <c r="F62" t="s">
        <v>42</v>
      </c>
      <c r="G62" t="s">
        <v>24</v>
      </c>
      <c r="H62">
        <v>39</v>
      </c>
      <c r="I62" s="1">
        <v>41096</v>
      </c>
      <c r="J62" s="2">
        <v>72850</v>
      </c>
      <c r="K62" s="3">
        <v>0</v>
      </c>
      <c r="L62" t="s">
        <v>25</v>
      </c>
      <c r="M62" t="s">
        <v>70</v>
      </c>
      <c r="N62" s="2">
        <f>Employee_Data[[#This Row],[Basic Salary]]*10%</f>
        <v>607.08333333333337</v>
      </c>
      <c r="O62" s="4">
        <f>Employee_Data[[#This Row],[Basic Salary]]*7.5%</f>
        <v>455.31249999999994</v>
      </c>
      <c r="P62" s="2">
        <f>Employee_Data[[#This Row],[Basic Salary]]*3%</f>
        <v>182.12499999999997</v>
      </c>
      <c r="Q62" s="2">
        <f>SUM(Employee_Data[[#This Row],[Basic Salary]],Employee_Data[[#This Row],[HRA]],Employee_Data[[#This Row],[MA]],Employee_Data[[#This Row],[TA]])</f>
        <v>7315.3541666666661</v>
      </c>
      <c r="R62" s="4">
        <f>Employee_Data[[#This Row],[Basic Salary]]*12.5%</f>
        <v>758.85416666666663</v>
      </c>
      <c r="S62" s="2">
        <f>Employee_Data[[#This Row],[Annual Salary]]/12</f>
        <v>6070.833333333333</v>
      </c>
    </row>
    <row r="63" spans="1:19" x14ac:dyDescent="0.3">
      <c r="A63" t="s">
        <v>192</v>
      </c>
      <c r="B63" t="s">
        <v>193</v>
      </c>
      <c r="C63" t="s">
        <v>104</v>
      </c>
      <c r="D63" t="s">
        <v>30</v>
      </c>
      <c r="E63" t="s">
        <v>31</v>
      </c>
      <c r="F63" t="s">
        <v>23</v>
      </c>
      <c r="G63" t="s">
        <v>43</v>
      </c>
      <c r="H63">
        <v>46</v>
      </c>
      <c r="I63" s="1">
        <v>40408</v>
      </c>
      <c r="J63" s="2">
        <v>57951</v>
      </c>
      <c r="K63" s="3">
        <v>0</v>
      </c>
      <c r="L63" t="s">
        <v>25</v>
      </c>
      <c r="M63" t="s">
        <v>51</v>
      </c>
      <c r="N63" s="2">
        <f>Employee_Data[[#This Row],[Basic Salary]]*10%</f>
        <v>482.92500000000001</v>
      </c>
      <c r="O63" s="4">
        <f>Employee_Data[[#This Row],[Basic Salary]]*7.5%</f>
        <v>362.19374999999997</v>
      </c>
      <c r="P63" s="2">
        <f>Employee_Data[[#This Row],[Basic Salary]]*3%</f>
        <v>144.8775</v>
      </c>
      <c r="Q63" s="2">
        <f>SUM(Employee_Data[[#This Row],[Basic Salary]],Employee_Data[[#This Row],[HRA]],Employee_Data[[#This Row],[MA]],Employee_Data[[#This Row],[TA]])</f>
        <v>5819.2462500000001</v>
      </c>
      <c r="R63" s="4">
        <f>Employee_Data[[#This Row],[Basic Salary]]*12.5%</f>
        <v>603.65625</v>
      </c>
      <c r="S63" s="2">
        <f>Employee_Data[[#This Row],[Annual Salary]]/12</f>
        <v>4829.25</v>
      </c>
    </row>
    <row r="64" spans="1:19" x14ac:dyDescent="0.3">
      <c r="A64" t="s">
        <v>194</v>
      </c>
      <c r="B64" t="s">
        <v>195</v>
      </c>
      <c r="C64" t="s">
        <v>60</v>
      </c>
      <c r="D64" t="s">
        <v>30</v>
      </c>
      <c r="E64" t="s">
        <v>22</v>
      </c>
      <c r="F64" t="s">
        <v>23</v>
      </c>
      <c r="G64" t="s">
        <v>66</v>
      </c>
      <c r="H64">
        <v>50</v>
      </c>
      <c r="I64" s="1">
        <v>40388</v>
      </c>
      <c r="J64" s="2">
        <v>70340</v>
      </c>
      <c r="K64" s="3">
        <v>0</v>
      </c>
      <c r="L64" t="s">
        <v>25</v>
      </c>
      <c r="M64" t="s">
        <v>70</v>
      </c>
      <c r="N64" s="2">
        <f>Employee_Data[[#This Row],[Basic Salary]]*10%</f>
        <v>586.16666666666674</v>
      </c>
      <c r="O64" s="4">
        <f>Employee_Data[[#This Row],[Basic Salary]]*7.5%</f>
        <v>439.625</v>
      </c>
      <c r="P64" s="2">
        <f>Employee_Data[[#This Row],[Basic Salary]]*3%</f>
        <v>175.85</v>
      </c>
      <c r="Q64" s="2">
        <f>SUM(Employee_Data[[#This Row],[Basic Salary]],Employee_Data[[#This Row],[HRA]],Employee_Data[[#This Row],[MA]],Employee_Data[[#This Row],[TA]])</f>
        <v>7063.3083333333343</v>
      </c>
      <c r="R64" s="4">
        <f>Employee_Data[[#This Row],[Basic Salary]]*12.5%</f>
        <v>732.70833333333337</v>
      </c>
      <c r="S64" s="2">
        <f>Employee_Data[[#This Row],[Annual Salary]]/12</f>
        <v>5861.666666666667</v>
      </c>
    </row>
    <row r="65" spans="1:19" x14ac:dyDescent="0.3">
      <c r="A65" t="s">
        <v>196</v>
      </c>
      <c r="B65" t="s">
        <v>197</v>
      </c>
      <c r="C65" t="s">
        <v>198</v>
      </c>
      <c r="D65" t="s">
        <v>21</v>
      </c>
      <c r="E65" t="s">
        <v>22</v>
      </c>
      <c r="F65" t="s">
        <v>42</v>
      </c>
      <c r="G65" t="s">
        <v>24</v>
      </c>
      <c r="H65">
        <v>55</v>
      </c>
      <c r="I65" s="1">
        <v>39685</v>
      </c>
      <c r="J65" s="2">
        <v>98221</v>
      </c>
      <c r="K65" s="3">
        <v>0</v>
      </c>
      <c r="L65" t="s">
        <v>37</v>
      </c>
      <c r="M65" t="s">
        <v>38</v>
      </c>
      <c r="N65" s="2">
        <f>Employee_Data[[#This Row],[Basic Salary]]*10%</f>
        <v>818.50833333333333</v>
      </c>
      <c r="O65" s="4">
        <f>Employee_Data[[#This Row],[Basic Salary]]*7.5%</f>
        <v>613.88124999999991</v>
      </c>
      <c r="P65" s="2">
        <f>Employee_Data[[#This Row],[Basic Salary]]*3%</f>
        <v>245.55249999999998</v>
      </c>
      <c r="Q65" s="2">
        <f>SUM(Employee_Data[[#This Row],[Basic Salary]],Employee_Data[[#This Row],[HRA]],Employee_Data[[#This Row],[MA]],Employee_Data[[#This Row],[TA]])</f>
        <v>9863.0254166666673</v>
      </c>
      <c r="R65" s="4">
        <f>Employee_Data[[#This Row],[Basic Salary]]*12.5%</f>
        <v>1023.1354166666666</v>
      </c>
      <c r="S65" s="2">
        <f>Employee_Data[[#This Row],[Annual Salary]]/12</f>
        <v>8185.083333333333</v>
      </c>
    </row>
    <row r="66" spans="1:19" x14ac:dyDescent="0.3">
      <c r="A66" t="s">
        <v>199</v>
      </c>
      <c r="B66" t="s">
        <v>200</v>
      </c>
      <c r="C66" t="s">
        <v>83</v>
      </c>
      <c r="D66" t="s">
        <v>30</v>
      </c>
      <c r="E66" t="s">
        <v>56</v>
      </c>
      <c r="F66" t="s">
        <v>23</v>
      </c>
      <c r="G66" t="s">
        <v>24</v>
      </c>
      <c r="H66">
        <v>43</v>
      </c>
      <c r="I66" s="1">
        <v>37888</v>
      </c>
      <c r="J66" s="2">
        <v>127175</v>
      </c>
      <c r="K66" s="3">
        <v>0.12</v>
      </c>
      <c r="L66" t="s">
        <v>25</v>
      </c>
      <c r="M66" t="s">
        <v>44</v>
      </c>
      <c r="N66" s="2">
        <f>Employee_Data[[#This Row],[Basic Salary]]*10%</f>
        <v>1059.7916666666667</v>
      </c>
      <c r="O66" s="4">
        <f>Employee_Data[[#This Row],[Basic Salary]]*7.5%</f>
        <v>794.84374999999989</v>
      </c>
      <c r="P66" s="2">
        <f>Employee_Data[[#This Row],[Basic Salary]]*3%</f>
        <v>317.93749999999994</v>
      </c>
      <c r="Q66" s="2">
        <f>SUM(Employee_Data[[#This Row],[Basic Salary]],Employee_Data[[#This Row],[HRA]],Employee_Data[[#This Row],[MA]],Employee_Data[[#This Row],[TA]])</f>
        <v>12770.489583333332</v>
      </c>
      <c r="R66" s="4">
        <f>Employee_Data[[#This Row],[Basic Salary]]*12.5%</f>
        <v>1324.7395833333333</v>
      </c>
      <c r="S66" s="2">
        <f>Employee_Data[[#This Row],[Annual Salary]]/12</f>
        <v>10597.916666666666</v>
      </c>
    </row>
    <row r="67" spans="1:19" x14ac:dyDescent="0.3">
      <c r="A67" t="s">
        <v>201</v>
      </c>
      <c r="B67" t="s">
        <v>202</v>
      </c>
      <c r="C67" t="s">
        <v>54</v>
      </c>
      <c r="D67" t="s">
        <v>61</v>
      </c>
      <c r="E67" t="s">
        <v>22</v>
      </c>
      <c r="F67" t="s">
        <v>42</v>
      </c>
      <c r="G67" t="s">
        <v>84</v>
      </c>
      <c r="H67">
        <v>26</v>
      </c>
      <c r="I67" s="1">
        <v>44332</v>
      </c>
      <c r="J67" s="2">
        <v>97542</v>
      </c>
      <c r="K67" s="3">
        <v>0</v>
      </c>
      <c r="L67" t="s">
        <v>25</v>
      </c>
      <c r="M67" t="s">
        <v>51</v>
      </c>
      <c r="N67" s="2">
        <f>Employee_Data[[#This Row],[Basic Salary]]*10%</f>
        <v>812.85</v>
      </c>
      <c r="O67" s="4">
        <f>Employee_Data[[#This Row],[Basic Salary]]*7.5%</f>
        <v>609.63749999999993</v>
      </c>
      <c r="P67" s="2">
        <f>Employee_Data[[#This Row],[Basic Salary]]*3%</f>
        <v>243.85499999999999</v>
      </c>
      <c r="Q67" s="2">
        <f>SUM(Employee_Data[[#This Row],[Basic Salary]],Employee_Data[[#This Row],[HRA]],Employee_Data[[#This Row],[MA]],Employee_Data[[#This Row],[TA]])</f>
        <v>9794.8425000000007</v>
      </c>
      <c r="R67" s="4">
        <f>Employee_Data[[#This Row],[Basic Salary]]*12.5%</f>
        <v>1016.0625</v>
      </c>
      <c r="S67" s="2">
        <f>Employee_Data[[#This Row],[Annual Salary]]/12</f>
        <v>8128.5</v>
      </c>
    </row>
    <row r="68" spans="1:19" x14ac:dyDescent="0.3">
      <c r="A68" t="s">
        <v>203</v>
      </c>
      <c r="B68" t="s">
        <v>204</v>
      </c>
      <c r="C68" t="s">
        <v>54</v>
      </c>
      <c r="D68" t="s">
        <v>80</v>
      </c>
      <c r="E68" t="s">
        <v>36</v>
      </c>
      <c r="F68" t="s">
        <v>23</v>
      </c>
      <c r="G68" t="s">
        <v>43</v>
      </c>
      <c r="H68">
        <v>34</v>
      </c>
      <c r="I68" s="1">
        <v>43600</v>
      </c>
      <c r="J68" s="2">
        <v>81646</v>
      </c>
      <c r="K68" s="3">
        <v>0</v>
      </c>
      <c r="L68" t="s">
        <v>25</v>
      </c>
      <c r="M68" t="s">
        <v>51</v>
      </c>
      <c r="N68" s="2">
        <f>Employee_Data[[#This Row],[Basic Salary]]*10%</f>
        <v>680.38333333333333</v>
      </c>
      <c r="O68" s="4">
        <f>Employee_Data[[#This Row],[Basic Salary]]*7.5%</f>
        <v>510.28749999999997</v>
      </c>
      <c r="P68" s="2">
        <f>Employee_Data[[#This Row],[Basic Salary]]*3%</f>
        <v>204.11499999999998</v>
      </c>
      <c r="Q68" s="2">
        <f>SUM(Employee_Data[[#This Row],[Basic Salary]],Employee_Data[[#This Row],[HRA]],Employee_Data[[#This Row],[MA]],Employee_Data[[#This Row],[TA]])</f>
        <v>8198.6191666666673</v>
      </c>
      <c r="R68" s="4">
        <f>Employee_Data[[#This Row],[Basic Salary]]*12.5%</f>
        <v>850.47916666666663</v>
      </c>
      <c r="S68" s="2">
        <f>Employee_Data[[#This Row],[Annual Salary]]/12</f>
        <v>6803.833333333333</v>
      </c>
    </row>
    <row r="69" spans="1:19" x14ac:dyDescent="0.3">
      <c r="A69" t="s">
        <v>205</v>
      </c>
      <c r="B69" t="s">
        <v>206</v>
      </c>
      <c r="C69" t="s">
        <v>47</v>
      </c>
      <c r="D69" t="s">
        <v>30</v>
      </c>
      <c r="E69" t="s">
        <v>56</v>
      </c>
      <c r="F69" t="s">
        <v>23</v>
      </c>
      <c r="G69" t="s">
        <v>43</v>
      </c>
      <c r="H69">
        <v>38</v>
      </c>
      <c r="I69" s="1">
        <v>39999</v>
      </c>
      <c r="J69" s="2">
        <v>182055</v>
      </c>
      <c r="K69" s="3">
        <v>0.27</v>
      </c>
      <c r="L69" t="s">
        <v>137</v>
      </c>
      <c r="M69" t="s">
        <v>138</v>
      </c>
      <c r="N69" s="2">
        <f>Employee_Data[[#This Row],[Basic Salary]]*10%</f>
        <v>1517.125</v>
      </c>
      <c r="O69" s="4">
        <f>Employee_Data[[#This Row],[Basic Salary]]*7.5%</f>
        <v>1137.84375</v>
      </c>
      <c r="P69" s="2">
        <f>Employee_Data[[#This Row],[Basic Salary]]*3%</f>
        <v>455.13749999999999</v>
      </c>
      <c r="Q69" s="2">
        <f>SUM(Employee_Data[[#This Row],[Basic Salary]],Employee_Data[[#This Row],[HRA]],Employee_Data[[#This Row],[MA]],Employee_Data[[#This Row],[TA]])</f>
        <v>18281.356250000001</v>
      </c>
      <c r="R69" s="4">
        <f>Employee_Data[[#This Row],[Basic Salary]]*12.5%</f>
        <v>1896.40625</v>
      </c>
      <c r="S69" s="2">
        <f>Employee_Data[[#This Row],[Annual Salary]]/12</f>
        <v>15171.25</v>
      </c>
    </row>
    <row r="70" spans="1:19" x14ac:dyDescent="0.3">
      <c r="A70" t="s">
        <v>207</v>
      </c>
      <c r="B70" t="s">
        <v>208</v>
      </c>
      <c r="C70" t="s">
        <v>54</v>
      </c>
      <c r="D70" t="s">
        <v>80</v>
      </c>
      <c r="E70" t="s">
        <v>56</v>
      </c>
      <c r="F70" t="s">
        <v>23</v>
      </c>
      <c r="G70" t="s">
        <v>24</v>
      </c>
      <c r="H70">
        <v>35</v>
      </c>
      <c r="I70" s="1">
        <v>44584</v>
      </c>
      <c r="J70" s="2">
        <v>86777</v>
      </c>
      <c r="K70" s="3">
        <v>0</v>
      </c>
      <c r="L70" t="s">
        <v>37</v>
      </c>
      <c r="M70" t="s">
        <v>62</v>
      </c>
      <c r="N70" s="2">
        <f>Employee_Data[[#This Row],[Basic Salary]]*10%</f>
        <v>723.14166666666677</v>
      </c>
      <c r="O70" s="4">
        <f>Employee_Data[[#This Row],[Basic Salary]]*7.5%</f>
        <v>542.35625000000005</v>
      </c>
      <c r="P70" s="2">
        <f>Employee_Data[[#This Row],[Basic Salary]]*3%</f>
        <v>216.9425</v>
      </c>
      <c r="Q70" s="2">
        <f>SUM(Employee_Data[[#This Row],[Basic Salary]],Employee_Data[[#This Row],[HRA]],Employee_Data[[#This Row],[MA]],Employee_Data[[#This Row],[TA]])</f>
        <v>8713.8570833333324</v>
      </c>
      <c r="R70" s="4">
        <f>Employee_Data[[#This Row],[Basic Salary]]*12.5%</f>
        <v>903.92708333333337</v>
      </c>
      <c r="S70" s="2">
        <f>Employee_Data[[#This Row],[Annual Salary]]/12</f>
        <v>7231.416666666667</v>
      </c>
    </row>
    <row r="71" spans="1:19" x14ac:dyDescent="0.3">
      <c r="A71" t="s">
        <v>209</v>
      </c>
      <c r="B71" t="s">
        <v>210</v>
      </c>
      <c r="C71" t="s">
        <v>69</v>
      </c>
      <c r="D71" t="s">
        <v>80</v>
      </c>
      <c r="E71" t="s">
        <v>31</v>
      </c>
      <c r="F71" t="s">
        <v>23</v>
      </c>
      <c r="G71" t="s">
        <v>24</v>
      </c>
      <c r="H71">
        <v>39</v>
      </c>
      <c r="I71" s="1">
        <v>42172</v>
      </c>
      <c r="J71" s="2">
        <v>129949</v>
      </c>
      <c r="K71" s="3">
        <v>0.09</v>
      </c>
      <c r="L71" t="s">
        <v>37</v>
      </c>
      <c r="M71" t="s">
        <v>111</v>
      </c>
      <c r="N71" s="2">
        <f>Employee_Data[[#This Row],[Basic Salary]]*10%</f>
        <v>1082.9083333333335</v>
      </c>
      <c r="O71" s="4">
        <f>Employee_Data[[#This Row],[Basic Salary]]*7.5%</f>
        <v>812.18124999999998</v>
      </c>
      <c r="P71" s="2">
        <f>Employee_Data[[#This Row],[Basic Salary]]*3%</f>
        <v>324.8725</v>
      </c>
      <c r="Q71" s="2">
        <f>SUM(Employee_Data[[#This Row],[Basic Salary]],Employee_Data[[#This Row],[HRA]],Employee_Data[[#This Row],[MA]],Employee_Data[[#This Row],[TA]])</f>
        <v>13049.045416666666</v>
      </c>
      <c r="R71" s="4">
        <f>Employee_Data[[#This Row],[Basic Salary]]*12.5%</f>
        <v>1353.6354166666667</v>
      </c>
      <c r="S71" s="2">
        <f>Employee_Data[[#This Row],[Annual Salary]]/12</f>
        <v>10829.083333333334</v>
      </c>
    </row>
    <row r="72" spans="1:19" x14ac:dyDescent="0.3">
      <c r="A72" t="s">
        <v>211</v>
      </c>
      <c r="B72" t="s">
        <v>212</v>
      </c>
      <c r="C72" t="s">
        <v>69</v>
      </c>
      <c r="D72" t="s">
        <v>30</v>
      </c>
      <c r="E72" t="s">
        <v>56</v>
      </c>
      <c r="F72" t="s">
        <v>42</v>
      </c>
      <c r="G72" t="s">
        <v>24</v>
      </c>
      <c r="H72">
        <v>26</v>
      </c>
      <c r="I72" s="1">
        <v>44062</v>
      </c>
      <c r="J72" s="2">
        <v>124535</v>
      </c>
      <c r="K72" s="3">
        <v>0.06</v>
      </c>
      <c r="L72" t="s">
        <v>25</v>
      </c>
      <c r="M72" t="s">
        <v>32</v>
      </c>
      <c r="N72" s="2">
        <f>Employee_Data[[#This Row],[Basic Salary]]*10%</f>
        <v>1037.7916666666667</v>
      </c>
      <c r="O72" s="4">
        <f>Employee_Data[[#This Row],[Basic Salary]]*7.5%</f>
        <v>778.34374999999989</v>
      </c>
      <c r="P72" s="2">
        <f>Employee_Data[[#This Row],[Basic Salary]]*3%</f>
        <v>311.33749999999998</v>
      </c>
      <c r="Q72" s="2">
        <f>SUM(Employee_Data[[#This Row],[Basic Salary]],Employee_Data[[#This Row],[HRA]],Employee_Data[[#This Row],[MA]],Employee_Data[[#This Row],[TA]])</f>
        <v>12505.389583333332</v>
      </c>
      <c r="R72" s="4">
        <f>Employee_Data[[#This Row],[Basic Salary]]*12.5%</f>
        <v>1297.2395833333333</v>
      </c>
      <c r="S72" s="2">
        <f>Employee_Data[[#This Row],[Annual Salary]]/12</f>
        <v>10377.916666666666</v>
      </c>
    </row>
    <row r="73" spans="1:19" x14ac:dyDescent="0.3">
      <c r="A73" t="s">
        <v>213</v>
      </c>
      <c r="B73" t="s">
        <v>214</v>
      </c>
      <c r="C73" t="s">
        <v>65</v>
      </c>
      <c r="D73" t="s">
        <v>4</v>
      </c>
      <c r="E73" t="s">
        <v>36</v>
      </c>
      <c r="F73" t="s">
        <v>42</v>
      </c>
      <c r="G73" t="s">
        <v>24</v>
      </c>
      <c r="H73">
        <v>60</v>
      </c>
      <c r="I73" s="1">
        <v>34167</v>
      </c>
      <c r="J73" s="2">
        <v>81083</v>
      </c>
      <c r="K73" s="3">
        <v>0</v>
      </c>
      <c r="L73" t="s">
        <v>25</v>
      </c>
      <c r="M73" t="s">
        <v>26</v>
      </c>
      <c r="N73" s="2">
        <f>Employee_Data[[#This Row],[Basic Salary]]*10%</f>
        <v>675.69166666666672</v>
      </c>
      <c r="O73" s="4">
        <f>Employee_Data[[#This Row],[Basic Salary]]*7.5%</f>
        <v>506.76875000000001</v>
      </c>
      <c r="P73" s="2">
        <f>Employee_Data[[#This Row],[Basic Salary]]*3%</f>
        <v>202.70750000000001</v>
      </c>
      <c r="Q73" s="2">
        <f>SUM(Employee_Data[[#This Row],[Basic Salary]],Employee_Data[[#This Row],[HRA]],Employee_Data[[#This Row],[MA]],Employee_Data[[#This Row],[TA]])</f>
        <v>8142.0845833333342</v>
      </c>
      <c r="R73" s="4">
        <f>Employee_Data[[#This Row],[Basic Salary]]*12.5%</f>
        <v>844.61458333333337</v>
      </c>
      <c r="S73" s="2">
        <f>Employee_Data[[#This Row],[Annual Salary]]/12</f>
        <v>6756.916666666667</v>
      </c>
    </row>
    <row r="74" spans="1:19" x14ac:dyDescent="0.3">
      <c r="A74" t="s">
        <v>215</v>
      </c>
      <c r="B74" t="s">
        <v>216</v>
      </c>
      <c r="C74" t="s">
        <v>29</v>
      </c>
      <c r="D74" t="s">
        <v>80</v>
      </c>
      <c r="E74" t="s">
        <v>31</v>
      </c>
      <c r="F74" t="s">
        <v>23</v>
      </c>
      <c r="G74" t="s">
        <v>24</v>
      </c>
      <c r="H74">
        <v>32</v>
      </c>
      <c r="I74" s="1">
        <v>43626</v>
      </c>
      <c r="J74" s="2">
        <v>57727</v>
      </c>
      <c r="K74" s="3">
        <v>0</v>
      </c>
      <c r="L74" t="s">
        <v>37</v>
      </c>
      <c r="M74" t="s">
        <v>62</v>
      </c>
      <c r="N74" s="2">
        <f>Employee_Data[[#This Row],[Basic Salary]]*10%</f>
        <v>481.05833333333334</v>
      </c>
      <c r="O74" s="4">
        <f>Employee_Data[[#This Row],[Basic Salary]]*7.5%</f>
        <v>360.79374999999999</v>
      </c>
      <c r="P74" s="2">
        <f>Employee_Data[[#This Row],[Basic Salary]]*3%</f>
        <v>144.3175</v>
      </c>
      <c r="Q74" s="2">
        <f>SUM(Employee_Data[[#This Row],[Basic Salary]],Employee_Data[[#This Row],[HRA]],Employee_Data[[#This Row],[MA]],Employee_Data[[#This Row],[TA]])</f>
        <v>5796.7529166666664</v>
      </c>
      <c r="R74" s="4">
        <f>Employee_Data[[#This Row],[Basic Salary]]*12.5%</f>
        <v>601.32291666666663</v>
      </c>
      <c r="S74" s="2">
        <f>Employee_Data[[#This Row],[Annual Salary]]/12</f>
        <v>4810.583333333333</v>
      </c>
    </row>
    <row r="75" spans="1:19" x14ac:dyDescent="0.3">
      <c r="A75" t="s">
        <v>217</v>
      </c>
      <c r="B75" t="s">
        <v>218</v>
      </c>
      <c r="C75" t="s">
        <v>60</v>
      </c>
      <c r="D75" t="s">
        <v>61</v>
      </c>
      <c r="E75" t="s">
        <v>22</v>
      </c>
      <c r="F75" t="s">
        <v>42</v>
      </c>
      <c r="G75" t="s">
        <v>66</v>
      </c>
      <c r="H75">
        <v>65</v>
      </c>
      <c r="I75" s="1">
        <v>44023</v>
      </c>
      <c r="J75" s="2">
        <v>59344</v>
      </c>
      <c r="K75" s="3">
        <v>0</v>
      </c>
      <c r="L75" t="s">
        <v>25</v>
      </c>
      <c r="M75" t="s">
        <v>26</v>
      </c>
      <c r="N75" s="2">
        <f>Employee_Data[[#This Row],[Basic Salary]]*10%</f>
        <v>494.5333333333333</v>
      </c>
      <c r="O75" s="4">
        <f>Employee_Data[[#This Row],[Basic Salary]]*7.5%</f>
        <v>370.9</v>
      </c>
      <c r="P75" s="2">
        <f>Employee_Data[[#This Row],[Basic Salary]]*3%</f>
        <v>148.35999999999999</v>
      </c>
      <c r="Q75" s="2">
        <f>SUM(Employee_Data[[#This Row],[Basic Salary]],Employee_Data[[#This Row],[HRA]],Employee_Data[[#This Row],[MA]],Employee_Data[[#This Row],[TA]])</f>
        <v>5959.1266666666661</v>
      </c>
      <c r="R75" s="4">
        <f>Employee_Data[[#This Row],[Basic Salary]]*12.5%</f>
        <v>618.16666666666663</v>
      </c>
      <c r="S75" s="2">
        <f>Employee_Data[[#This Row],[Annual Salary]]/12</f>
        <v>4945.333333333333</v>
      </c>
    </row>
    <row r="76" spans="1:19" x14ac:dyDescent="0.3">
      <c r="A76" t="s">
        <v>219</v>
      </c>
      <c r="B76" t="s">
        <v>220</v>
      </c>
      <c r="C76" t="s">
        <v>54</v>
      </c>
      <c r="D76" t="s">
        <v>30</v>
      </c>
      <c r="E76" t="s">
        <v>36</v>
      </c>
      <c r="F76" t="s">
        <v>23</v>
      </c>
      <c r="G76" t="s">
        <v>24</v>
      </c>
      <c r="H76">
        <v>27</v>
      </c>
      <c r="I76" s="1">
        <v>44817</v>
      </c>
      <c r="J76" s="2">
        <v>73203</v>
      </c>
      <c r="K76" s="3">
        <v>0</v>
      </c>
      <c r="L76" t="s">
        <v>25</v>
      </c>
      <c r="M76" t="s">
        <v>70</v>
      </c>
      <c r="N76" s="2">
        <f>Employee_Data[[#This Row],[Basic Salary]]*10%</f>
        <v>610.02499999999998</v>
      </c>
      <c r="O76" s="4">
        <f>Employee_Data[[#This Row],[Basic Salary]]*7.5%</f>
        <v>457.51875000000001</v>
      </c>
      <c r="P76" s="2">
        <f>Employee_Data[[#This Row],[Basic Salary]]*3%</f>
        <v>183.00749999999999</v>
      </c>
      <c r="Q76" s="2">
        <f>SUM(Employee_Data[[#This Row],[Basic Salary]],Employee_Data[[#This Row],[HRA]],Employee_Data[[#This Row],[MA]],Employee_Data[[#This Row],[TA]])</f>
        <v>7350.8012499999995</v>
      </c>
      <c r="R76" s="4">
        <f>Employee_Data[[#This Row],[Basic Salary]]*12.5%</f>
        <v>762.53125</v>
      </c>
      <c r="S76" s="2">
        <f>Employee_Data[[#This Row],[Annual Salary]]/12</f>
        <v>6100.25</v>
      </c>
    </row>
    <row r="77" spans="1:19" x14ac:dyDescent="0.3">
      <c r="A77" t="s">
        <v>221</v>
      </c>
      <c r="B77" t="s">
        <v>222</v>
      </c>
      <c r="C77" t="s">
        <v>41</v>
      </c>
      <c r="D77" t="s">
        <v>4</v>
      </c>
      <c r="E77" t="s">
        <v>56</v>
      </c>
      <c r="F77" t="s">
        <v>42</v>
      </c>
      <c r="G77" t="s">
        <v>43</v>
      </c>
      <c r="H77">
        <v>63</v>
      </c>
      <c r="I77" s="1">
        <v>38003</v>
      </c>
      <c r="J77" s="2">
        <v>83070</v>
      </c>
      <c r="K77" s="3">
        <v>0</v>
      </c>
      <c r="L77" t="s">
        <v>137</v>
      </c>
      <c r="M77" t="s">
        <v>183</v>
      </c>
      <c r="N77" s="2">
        <f>Employee_Data[[#This Row],[Basic Salary]]*10%</f>
        <v>692.25</v>
      </c>
      <c r="O77" s="4">
        <f>Employee_Data[[#This Row],[Basic Salary]]*7.5%</f>
        <v>519.1875</v>
      </c>
      <c r="P77" s="2">
        <f>Employee_Data[[#This Row],[Basic Salary]]*3%</f>
        <v>207.67499999999998</v>
      </c>
      <c r="Q77" s="2">
        <f>SUM(Employee_Data[[#This Row],[Basic Salary]],Employee_Data[[#This Row],[HRA]],Employee_Data[[#This Row],[MA]],Employee_Data[[#This Row],[TA]])</f>
        <v>8341.6124999999993</v>
      </c>
      <c r="R77" s="4">
        <f>Employee_Data[[#This Row],[Basic Salary]]*12.5%</f>
        <v>865.3125</v>
      </c>
      <c r="S77" s="2">
        <f>Employee_Data[[#This Row],[Annual Salary]]/12</f>
        <v>6922.5</v>
      </c>
    </row>
    <row r="78" spans="1:19" x14ac:dyDescent="0.3">
      <c r="A78" t="s">
        <v>223</v>
      </c>
      <c r="B78" t="s">
        <v>224</v>
      </c>
      <c r="C78" t="s">
        <v>69</v>
      </c>
      <c r="D78" t="s">
        <v>126</v>
      </c>
      <c r="E78" t="s">
        <v>36</v>
      </c>
      <c r="F78" t="s">
        <v>42</v>
      </c>
      <c r="G78" t="s">
        <v>24</v>
      </c>
      <c r="H78">
        <v>51</v>
      </c>
      <c r="I78" s="1">
        <v>44034</v>
      </c>
      <c r="J78" s="2">
        <v>104008</v>
      </c>
      <c r="K78" s="3">
        <v>0.1</v>
      </c>
      <c r="L78" t="s">
        <v>37</v>
      </c>
      <c r="M78" t="s">
        <v>111</v>
      </c>
      <c r="N78" s="2">
        <f>Employee_Data[[#This Row],[Basic Salary]]*10%</f>
        <v>866.73333333333346</v>
      </c>
      <c r="O78" s="4">
        <f>Employee_Data[[#This Row],[Basic Salary]]*7.5%</f>
        <v>650.05000000000007</v>
      </c>
      <c r="P78" s="2">
        <f>Employee_Data[[#This Row],[Basic Salary]]*3%</f>
        <v>260.02</v>
      </c>
      <c r="Q78" s="2">
        <f>SUM(Employee_Data[[#This Row],[Basic Salary]],Employee_Data[[#This Row],[HRA]],Employee_Data[[#This Row],[MA]],Employee_Data[[#This Row],[TA]])</f>
        <v>10444.136666666667</v>
      </c>
      <c r="R78" s="4">
        <f>Employee_Data[[#This Row],[Basic Salary]]*12.5%</f>
        <v>1083.4166666666667</v>
      </c>
      <c r="S78" s="2">
        <f>Employee_Data[[#This Row],[Annual Salary]]/12</f>
        <v>8667.3333333333339</v>
      </c>
    </row>
    <row r="79" spans="1:19" x14ac:dyDescent="0.3">
      <c r="A79" t="s">
        <v>225</v>
      </c>
      <c r="B79" t="s">
        <v>226</v>
      </c>
      <c r="C79" t="s">
        <v>227</v>
      </c>
      <c r="D79" t="s">
        <v>4</v>
      </c>
      <c r="E79" t="s">
        <v>31</v>
      </c>
      <c r="F79" t="s">
        <v>42</v>
      </c>
      <c r="G79" t="s">
        <v>66</v>
      </c>
      <c r="H79">
        <v>43</v>
      </c>
      <c r="I79" s="1">
        <v>39129</v>
      </c>
      <c r="J79" s="2">
        <v>70923</v>
      </c>
      <c r="K79" s="3">
        <v>0</v>
      </c>
      <c r="L79" t="s">
        <v>25</v>
      </c>
      <c r="M79" t="s">
        <v>26</v>
      </c>
      <c r="N79" s="2">
        <f>Employee_Data[[#This Row],[Basic Salary]]*10%</f>
        <v>591.02499999999998</v>
      </c>
      <c r="O79" s="4">
        <f>Employee_Data[[#This Row],[Basic Salary]]*7.5%</f>
        <v>443.26875000000001</v>
      </c>
      <c r="P79" s="2">
        <f>Employee_Data[[#This Row],[Basic Salary]]*3%</f>
        <v>177.3075</v>
      </c>
      <c r="Q79" s="2">
        <f>SUM(Employee_Data[[#This Row],[Basic Salary]],Employee_Data[[#This Row],[HRA]],Employee_Data[[#This Row],[MA]],Employee_Data[[#This Row],[TA]])</f>
        <v>7121.8512499999997</v>
      </c>
      <c r="R79" s="4">
        <f>Employee_Data[[#This Row],[Basic Salary]]*12.5%</f>
        <v>738.78125</v>
      </c>
      <c r="S79" s="2">
        <f>Employee_Data[[#This Row],[Annual Salary]]/12</f>
        <v>5910.25</v>
      </c>
    </row>
    <row r="80" spans="1:19" x14ac:dyDescent="0.3">
      <c r="A80" t="s">
        <v>228</v>
      </c>
      <c r="B80" t="s">
        <v>229</v>
      </c>
      <c r="C80" t="s">
        <v>83</v>
      </c>
      <c r="D80" t="s">
        <v>80</v>
      </c>
      <c r="E80" t="s">
        <v>56</v>
      </c>
      <c r="F80" t="s">
        <v>23</v>
      </c>
      <c r="G80" t="s">
        <v>84</v>
      </c>
      <c r="H80">
        <v>31</v>
      </c>
      <c r="I80" s="1">
        <v>43198</v>
      </c>
      <c r="J80" s="2">
        <v>159121</v>
      </c>
      <c r="K80" s="3">
        <v>0.14000000000000001</v>
      </c>
      <c r="L80" t="s">
        <v>25</v>
      </c>
      <c r="M80" t="s">
        <v>51</v>
      </c>
      <c r="N80" s="2">
        <f>Employee_Data[[#This Row],[Basic Salary]]*10%</f>
        <v>1326.0083333333334</v>
      </c>
      <c r="O80" s="4">
        <f>Employee_Data[[#This Row],[Basic Salary]]*7.5%</f>
        <v>994.50625000000002</v>
      </c>
      <c r="P80" s="2">
        <f>Employee_Data[[#This Row],[Basic Salary]]*3%</f>
        <v>397.80250000000001</v>
      </c>
      <c r="Q80" s="2">
        <f>SUM(Employee_Data[[#This Row],[Basic Salary]],Employee_Data[[#This Row],[HRA]],Employee_Data[[#This Row],[MA]],Employee_Data[[#This Row],[TA]])</f>
        <v>15978.400416666667</v>
      </c>
      <c r="R80" s="4">
        <f>Employee_Data[[#This Row],[Basic Salary]]*12.5%</f>
        <v>1657.5104166666667</v>
      </c>
      <c r="S80" s="2">
        <f>Employee_Data[[#This Row],[Annual Salary]]/12</f>
        <v>13260.083333333334</v>
      </c>
    </row>
    <row r="81" spans="1:19" x14ac:dyDescent="0.3">
      <c r="A81" t="s">
        <v>230</v>
      </c>
      <c r="B81" t="s">
        <v>231</v>
      </c>
      <c r="C81" t="s">
        <v>232</v>
      </c>
      <c r="D81" t="s">
        <v>126</v>
      </c>
      <c r="E81" t="s">
        <v>36</v>
      </c>
      <c r="F81" t="s">
        <v>42</v>
      </c>
      <c r="G81" t="s">
        <v>66</v>
      </c>
      <c r="H81">
        <v>26</v>
      </c>
      <c r="I81" s="1">
        <v>44167</v>
      </c>
      <c r="J81" s="2">
        <v>88921</v>
      </c>
      <c r="K81" s="3">
        <v>0</v>
      </c>
      <c r="L81" t="s">
        <v>25</v>
      </c>
      <c r="M81" t="s">
        <v>32</v>
      </c>
      <c r="N81" s="2">
        <f>Employee_Data[[#This Row],[Basic Salary]]*10%</f>
        <v>741.00833333333333</v>
      </c>
      <c r="O81" s="4">
        <f>Employee_Data[[#This Row],[Basic Salary]]*7.5%</f>
        <v>555.75624999999991</v>
      </c>
      <c r="P81" s="2">
        <f>Employee_Data[[#This Row],[Basic Salary]]*3%</f>
        <v>222.30249999999998</v>
      </c>
      <c r="Q81" s="2">
        <f>SUM(Employee_Data[[#This Row],[Basic Salary]],Employee_Data[[#This Row],[HRA]],Employee_Data[[#This Row],[MA]],Employee_Data[[#This Row],[TA]])</f>
        <v>8929.1504166666655</v>
      </c>
      <c r="R81" s="4">
        <f>Employee_Data[[#This Row],[Basic Salary]]*12.5%</f>
        <v>926.26041666666663</v>
      </c>
      <c r="S81" s="2">
        <f>Employee_Data[[#This Row],[Annual Salary]]/12</f>
        <v>7410.083333333333</v>
      </c>
    </row>
    <row r="82" spans="1:19" x14ac:dyDescent="0.3">
      <c r="A82" t="s">
        <v>233</v>
      </c>
      <c r="B82" t="s">
        <v>234</v>
      </c>
      <c r="C82" t="s">
        <v>83</v>
      </c>
      <c r="D82" t="s">
        <v>30</v>
      </c>
      <c r="E82" t="s">
        <v>56</v>
      </c>
      <c r="F82" t="s">
        <v>23</v>
      </c>
      <c r="G82" t="s">
        <v>24</v>
      </c>
      <c r="H82">
        <v>46</v>
      </c>
      <c r="I82" s="1">
        <v>42246</v>
      </c>
      <c r="J82" s="2">
        <v>126704</v>
      </c>
      <c r="K82" s="3">
        <v>0.14000000000000001</v>
      </c>
      <c r="L82" t="s">
        <v>25</v>
      </c>
      <c r="M82" t="s">
        <v>51</v>
      </c>
      <c r="N82" s="2">
        <f>Employee_Data[[#This Row],[Basic Salary]]*10%</f>
        <v>1055.8666666666666</v>
      </c>
      <c r="O82" s="4">
        <f>Employee_Data[[#This Row],[Basic Salary]]*7.5%</f>
        <v>791.9</v>
      </c>
      <c r="P82" s="2">
        <f>Employee_Data[[#This Row],[Basic Salary]]*3%</f>
        <v>316.76</v>
      </c>
      <c r="Q82" s="2">
        <f>SUM(Employee_Data[[#This Row],[Basic Salary]],Employee_Data[[#This Row],[HRA]],Employee_Data[[#This Row],[MA]],Employee_Data[[#This Row],[TA]])</f>
        <v>12723.193333333333</v>
      </c>
      <c r="R82" s="4">
        <f>Employee_Data[[#This Row],[Basic Salary]]*12.5%</f>
        <v>1319.8333333333333</v>
      </c>
      <c r="S82" s="2">
        <f>Employee_Data[[#This Row],[Annual Salary]]/12</f>
        <v>10558.666666666666</v>
      </c>
    </row>
    <row r="83" spans="1:19" x14ac:dyDescent="0.3">
      <c r="A83" t="s">
        <v>235</v>
      </c>
      <c r="B83" t="s">
        <v>236</v>
      </c>
      <c r="C83" t="s">
        <v>60</v>
      </c>
      <c r="D83" t="s">
        <v>55</v>
      </c>
      <c r="E83" t="s">
        <v>22</v>
      </c>
      <c r="F83" t="s">
        <v>42</v>
      </c>
      <c r="G83" t="s">
        <v>24</v>
      </c>
      <c r="H83">
        <v>59</v>
      </c>
      <c r="I83" s="1">
        <v>41049</v>
      </c>
      <c r="J83" s="2">
        <v>57704</v>
      </c>
      <c r="K83" s="3">
        <v>0</v>
      </c>
      <c r="L83" t="s">
        <v>37</v>
      </c>
      <c r="M83" t="s">
        <v>38</v>
      </c>
      <c r="N83" s="2">
        <f>Employee_Data[[#This Row],[Basic Salary]]*10%</f>
        <v>480.86666666666673</v>
      </c>
      <c r="O83" s="4">
        <f>Employee_Data[[#This Row],[Basic Salary]]*7.5%</f>
        <v>360.65000000000003</v>
      </c>
      <c r="P83" s="2">
        <f>Employee_Data[[#This Row],[Basic Salary]]*3%</f>
        <v>144.26</v>
      </c>
      <c r="Q83" s="2">
        <f>SUM(Employee_Data[[#This Row],[Basic Salary]],Employee_Data[[#This Row],[HRA]],Employee_Data[[#This Row],[MA]],Employee_Data[[#This Row],[TA]])</f>
        <v>5794.4433333333336</v>
      </c>
      <c r="R83" s="4">
        <f>Employee_Data[[#This Row],[Basic Salary]]*12.5%</f>
        <v>601.08333333333337</v>
      </c>
      <c r="S83" s="2">
        <f>Employee_Data[[#This Row],[Annual Salary]]/12</f>
        <v>4808.666666666667</v>
      </c>
    </row>
    <row r="84" spans="1:19" x14ac:dyDescent="0.3">
      <c r="A84" t="s">
        <v>237</v>
      </c>
      <c r="B84" t="s">
        <v>238</v>
      </c>
      <c r="C84" t="s">
        <v>47</v>
      </c>
      <c r="D84" t="s">
        <v>30</v>
      </c>
      <c r="E84" t="s">
        <v>36</v>
      </c>
      <c r="F84" t="s">
        <v>42</v>
      </c>
      <c r="G84" t="s">
        <v>43</v>
      </c>
      <c r="H84">
        <v>52</v>
      </c>
      <c r="I84" s="1">
        <v>35275</v>
      </c>
      <c r="J84" s="2">
        <v>191455</v>
      </c>
      <c r="K84" s="3">
        <v>0.24</v>
      </c>
      <c r="L84" t="s">
        <v>137</v>
      </c>
      <c r="M84" t="s">
        <v>183</v>
      </c>
      <c r="N84" s="2">
        <f>Employee_Data[[#This Row],[Basic Salary]]*10%</f>
        <v>1595.4583333333335</v>
      </c>
      <c r="O84" s="4">
        <f>Employee_Data[[#This Row],[Basic Salary]]*7.5%</f>
        <v>1196.59375</v>
      </c>
      <c r="P84" s="2">
        <f>Employee_Data[[#This Row],[Basic Salary]]*3%</f>
        <v>478.63749999999999</v>
      </c>
      <c r="Q84" s="2">
        <f>SUM(Employee_Data[[#This Row],[Basic Salary]],Employee_Data[[#This Row],[HRA]],Employee_Data[[#This Row],[MA]],Employee_Data[[#This Row],[TA]])</f>
        <v>19225.272916666669</v>
      </c>
      <c r="R84" s="4">
        <f>Employee_Data[[#This Row],[Basic Salary]]*12.5%</f>
        <v>1994.3229166666667</v>
      </c>
      <c r="S84" s="2">
        <f>Employee_Data[[#This Row],[Annual Salary]]/12</f>
        <v>15954.583333333334</v>
      </c>
    </row>
    <row r="85" spans="1:19" x14ac:dyDescent="0.3">
      <c r="A85" t="s">
        <v>239</v>
      </c>
      <c r="B85" t="s">
        <v>240</v>
      </c>
      <c r="C85" t="s">
        <v>227</v>
      </c>
      <c r="D85" t="s">
        <v>4</v>
      </c>
      <c r="E85" t="s">
        <v>22</v>
      </c>
      <c r="F85" t="s">
        <v>23</v>
      </c>
      <c r="G85" t="s">
        <v>66</v>
      </c>
      <c r="H85">
        <v>31</v>
      </c>
      <c r="I85" s="1">
        <v>44350</v>
      </c>
      <c r="J85" s="2">
        <v>99937</v>
      </c>
      <c r="K85" s="3">
        <v>0</v>
      </c>
      <c r="L85" t="s">
        <v>25</v>
      </c>
      <c r="M85" t="s">
        <v>51</v>
      </c>
      <c r="N85" s="2">
        <f>Employee_Data[[#This Row],[Basic Salary]]*10%</f>
        <v>832.80833333333339</v>
      </c>
      <c r="O85" s="4">
        <f>Employee_Data[[#This Row],[Basic Salary]]*7.5%</f>
        <v>624.60625000000005</v>
      </c>
      <c r="P85" s="2">
        <f>Employee_Data[[#This Row],[Basic Salary]]*3%</f>
        <v>249.8425</v>
      </c>
      <c r="Q85" s="2">
        <f>SUM(Employee_Data[[#This Row],[Basic Salary]],Employee_Data[[#This Row],[HRA]],Employee_Data[[#This Row],[MA]],Employee_Data[[#This Row],[TA]])</f>
        <v>10035.340416666668</v>
      </c>
      <c r="R85" s="4">
        <f>Employee_Data[[#This Row],[Basic Salary]]*12.5%</f>
        <v>1041.0104166666667</v>
      </c>
      <c r="S85" s="2">
        <f>Employee_Data[[#This Row],[Annual Salary]]/12</f>
        <v>8328.0833333333339</v>
      </c>
    </row>
    <row r="86" spans="1:19" x14ac:dyDescent="0.3">
      <c r="A86" t="s">
        <v>241</v>
      </c>
      <c r="B86" t="s">
        <v>242</v>
      </c>
      <c r="C86" t="s">
        <v>29</v>
      </c>
      <c r="D86" t="s">
        <v>80</v>
      </c>
      <c r="E86" t="s">
        <v>56</v>
      </c>
      <c r="F86" t="s">
        <v>23</v>
      </c>
      <c r="G86" t="s">
        <v>24</v>
      </c>
      <c r="H86">
        <v>42</v>
      </c>
      <c r="I86" s="1">
        <v>39519</v>
      </c>
      <c r="J86" s="2">
        <v>40778</v>
      </c>
      <c r="K86" s="3">
        <v>0</v>
      </c>
      <c r="L86" t="s">
        <v>37</v>
      </c>
      <c r="M86" t="s">
        <v>62</v>
      </c>
      <c r="N86" s="2">
        <f>Employee_Data[[#This Row],[Basic Salary]]*10%</f>
        <v>339.81666666666666</v>
      </c>
      <c r="O86" s="4">
        <f>Employee_Data[[#This Row],[Basic Salary]]*7.5%</f>
        <v>254.86249999999998</v>
      </c>
      <c r="P86" s="2">
        <f>Employee_Data[[#This Row],[Basic Salary]]*3%</f>
        <v>101.94499999999999</v>
      </c>
      <c r="Q86" s="2">
        <f>SUM(Employee_Data[[#This Row],[Basic Salary]],Employee_Data[[#This Row],[HRA]],Employee_Data[[#This Row],[MA]],Employee_Data[[#This Row],[TA]])</f>
        <v>4094.7908333333335</v>
      </c>
      <c r="R86" s="4">
        <f>Employee_Data[[#This Row],[Basic Salary]]*12.5%</f>
        <v>424.77083333333331</v>
      </c>
      <c r="S86" s="2">
        <f>Employee_Data[[#This Row],[Annual Salary]]/12</f>
        <v>3398.1666666666665</v>
      </c>
    </row>
    <row r="87" spans="1:19" x14ac:dyDescent="0.3">
      <c r="A87" t="s">
        <v>243</v>
      </c>
      <c r="B87" t="s">
        <v>244</v>
      </c>
      <c r="C87" t="s">
        <v>47</v>
      </c>
      <c r="D87" t="s">
        <v>80</v>
      </c>
      <c r="E87" t="s">
        <v>56</v>
      </c>
      <c r="F87" t="s">
        <v>23</v>
      </c>
      <c r="G87" t="s">
        <v>24</v>
      </c>
      <c r="H87">
        <v>53</v>
      </c>
      <c r="I87" s="1">
        <v>44516</v>
      </c>
      <c r="J87" s="2">
        <v>187740</v>
      </c>
      <c r="K87" s="3">
        <v>0.16</v>
      </c>
      <c r="L87" t="s">
        <v>25</v>
      </c>
      <c r="M87" t="s">
        <v>26</v>
      </c>
      <c r="N87" s="2">
        <f>Employee_Data[[#This Row],[Basic Salary]]*10%</f>
        <v>1564.5</v>
      </c>
      <c r="O87" s="4">
        <f>Employee_Data[[#This Row],[Basic Salary]]*7.5%</f>
        <v>1173.375</v>
      </c>
      <c r="P87" s="2">
        <f>Employee_Data[[#This Row],[Basic Salary]]*3%</f>
        <v>469.34999999999997</v>
      </c>
      <c r="Q87" s="2">
        <f>SUM(Employee_Data[[#This Row],[Basic Salary]],Employee_Data[[#This Row],[HRA]],Employee_Data[[#This Row],[MA]],Employee_Data[[#This Row],[TA]])</f>
        <v>18852.224999999999</v>
      </c>
      <c r="R87" s="4">
        <f>Employee_Data[[#This Row],[Basic Salary]]*12.5%</f>
        <v>1955.625</v>
      </c>
      <c r="S87" s="2">
        <f>Employee_Data[[#This Row],[Annual Salary]]/12</f>
        <v>15645</v>
      </c>
    </row>
    <row r="88" spans="1:19" x14ac:dyDescent="0.3">
      <c r="A88" t="s">
        <v>245</v>
      </c>
      <c r="B88" t="s">
        <v>246</v>
      </c>
      <c r="C88" t="s">
        <v>247</v>
      </c>
      <c r="D88" t="s">
        <v>126</v>
      </c>
      <c r="E88" t="s">
        <v>36</v>
      </c>
      <c r="F88" t="s">
        <v>23</v>
      </c>
      <c r="G88" t="s">
        <v>43</v>
      </c>
      <c r="H88">
        <v>47</v>
      </c>
      <c r="I88" s="1">
        <v>39701</v>
      </c>
      <c r="J88" s="2">
        <v>72384</v>
      </c>
      <c r="K88" s="3">
        <v>0</v>
      </c>
      <c r="L88" t="s">
        <v>137</v>
      </c>
      <c r="M88" t="s">
        <v>138</v>
      </c>
      <c r="N88" s="2">
        <f>Employee_Data[[#This Row],[Basic Salary]]*10%</f>
        <v>603.20000000000005</v>
      </c>
      <c r="O88" s="4">
        <f>Employee_Data[[#This Row],[Basic Salary]]*7.5%</f>
        <v>452.4</v>
      </c>
      <c r="P88" s="2">
        <f>Employee_Data[[#This Row],[Basic Salary]]*3%</f>
        <v>180.95999999999998</v>
      </c>
      <c r="Q88" s="2">
        <f>SUM(Employee_Data[[#This Row],[Basic Salary]],Employee_Data[[#This Row],[HRA]],Employee_Data[[#This Row],[MA]],Employee_Data[[#This Row],[TA]])</f>
        <v>7268.5599999999995</v>
      </c>
      <c r="R88" s="4">
        <f>Employee_Data[[#This Row],[Basic Salary]]*12.5%</f>
        <v>754</v>
      </c>
      <c r="S88" s="2">
        <f>Employee_Data[[#This Row],[Annual Salary]]/12</f>
        <v>6032</v>
      </c>
    </row>
    <row r="89" spans="1:19" x14ac:dyDescent="0.3">
      <c r="A89" t="s">
        <v>248</v>
      </c>
      <c r="B89" t="s">
        <v>249</v>
      </c>
      <c r="C89" t="s">
        <v>83</v>
      </c>
      <c r="D89" t="s">
        <v>80</v>
      </c>
      <c r="E89" t="s">
        <v>31</v>
      </c>
      <c r="F89" t="s">
        <v>42</v>
      </c>
      <c r="G89" t="s">
        <v>24</v>
      </c>
      <c r="H89">
        <v>45</v>
      </c>
      <c r="I89" s="1">
        <v>42587</v>
      </c>
      <c r="J89" s="2">
        <v>143318</v>
      </c>
      <c r="K89" s="3">
        <v>0.12</v>
      </c>
      <c r="L89" t="s">
        <v>37</v>
      </c>
      <c r="M89" t="s">
        <v>62</v>
      </c>
      <c r="N89" s="2">
        <f>Employee_Data[[#This Row],[Basic Salary]]*10%</f>
        <v>1194.3166666666666</v>
      </c>
      <c r="O89" s="4">
        <f>Employee_Data[[#This Row],[Basic Salary]]*7.5%</f>
        <v>895.73749999999995</v>
      </c>
      <c r="P89" s="2">
        <f>Employee_Data[[#This Row],[Basic Salary]]*3%</f>
        <v>358.29499999999996</v>
      </c>
      <c r="Q89" s="2">
        <f>SUM(Employee_Data[[#This Row],[Basic Salary]],Employee_Data[[#This Row],[HRA]],Employee_Data[[#This Row],[MA]],Employee_Data[[#This Row],[TA]])</f>
        <v>14391.515833333333</v>
      </c>
      <c r="R89" s="4">
        <f>Employee_Data[[#This Row],[Basic Salary]]*12.5%</f>
        <v>1492.8958333333333</v>
      </c>
      <c r="S89" s="2">
        <f>Employee_Data[[#This Row],[Annual Salary]]/12</f>
        <v>11943.166666666666</v>
      </c>
    </row>
    <row r="90" spans="1:19" x14ac:dyDescent="0.3">
      <c r="A90" t="s">
        <v>250</v>
      </c>
      <c r="B90" t="s">
        <v>251</v>
      </c>
      <c r="C90" t="s">
        <v>47</v>
      </c>
      <c r="D90" t="s">
        <v>126</v>
      </c>
      <c r="E90" t="s">
        <v>56</v>
      </c>
      <c r="F90" t="s">
        <v>42</v>
      </c>
      <c r="G90" t="s">
        <v>43</v>
      </c>
      <c r="H90">
        <v>45</v>
      </c>
      <c r="I90" s="1">
        <v>39617</v>
      </c>
      <c r="J90" s="2">
        <v>191304</v>
      </c>
      <c r="K90" s="3">
        <v>0.17</v>
      </c>
      <c r="L90" t="s">
        <v>25</v>
      </c>
      <c r="M90" t="s">
        <v>51</v>
      </c>
      <c r="N90" s="2">
        <f>Employee_Data[[#This Row],[Basic Salary]]*10%</f>
        <v>1594.2</v>
      </c>
      <c r="O90" s="4">
        <f>Employee_Data[[#This Row],[Basic Salary]]*7.5%</f>
        <v>1195.6499999999999</v>
      </c>
      <c r="P90" s="2">
        <f>Employee_Data[[#This Row],[Basic Salary]]*3%</f>
        <v>478.26</v>
      </c>
      <c r="Q90" s="2">
        <f>SUM(Employee_Data[[#This Row],[Basic Salary]],Employee_Data[[#This Row],[HRA]],Employee_Data[[#This Row],[MA]],Employee_Data[[#This Row],[TA]])</f>
        <v>19210.11</v>
      </c>
      <c r="R90" s="4">
        <f>Employee_Data[[#This Row],[Basic Salary]]*12.5%</f>
        <v>1992.75</v>
      </c>
      <c r="S90" s="2">
        <f>Employee_Data[[#This Row],[Annual Salary]]/12</f>
        <v>15942</v>
      </c>
    </row>
    <row r="91" spans="1:19" x14ac:dyDescent="0.3">
      <c r="A91" t="s">
        <v>252</v>
      </c>
      <c r="B91" t="s">
        <v>253</v>
      </c>
      <c r="C91" t="s">
        <v>47</v>
      </c>
      <c r="D91" t="s">
        <v>126</v>
      </c>
      <c r="E91" t="s">
        <v>56</v>
      </c>
      <c r="F91" t="s">
        <v>42</v>
      </c>
      <c r="G91" t="s">
        <v>84</v>
      </c>
      <c r="H91">
        <v>33</v>
      </c>
      <c r="I91" s="1">
        <v>42079</v>
      </c>
      <c r="J91" s="2">
        <v>175875</v>
      </c>
      <c r="K91" s="3">
        <v>0.21</v>
      </c>
      <c r="L91" t="s">
        <v>25</v>
      </c>
      <c r="M91" t="s">
        <v>26</v>
      </c>
      <c r="N91" s="2">
        <f>Employee_Data[[#This Row],[Basic Salary]]*10%</f>
        <v>1465.625</v>
      </c>
      <c r="O91" s="4">
        <f>Employee_Data[[#This Row],[Basic Salary]]*7.5%</f>
        <v>1099.21875</v>
      </c>
      <c r="P91" s="2">
        <f>Employee_Data[[#This Row],[Basic Salary]]*3%</f>
        <v>439.6875</v>
      </c>
      <c r="Q91" s="2">
        <f>SUM(Employee_Data[[#This Row],[Basic Salary]],Employee_Data[[#This Row],[HRA]],Employee_Data[[#This Row],[MA]],Employee_Data[[#This Row],[TA]])</f>
        <v>17660.78125</v>
      </c>
      <c r="R91" s="4">
        <f>Employee_Data[[#This Row],[Basic Salary]]*12.5%</f>
        <v>1832.03125</v>
      </c>
      <c r="S91" s="2">
        <f>Employee_Data[[#This Row],[Annual Salary]]/12</f>
        <v>14656.25</v>
      </c>
    </row>
    <row r="92" spans="1:19" x14ac:dyDescent="0.3">
      <c r="A92" t="s">
        <v>254</v>
      </c>
      <c r="B92" t="s">
        <v>255</v>
      </c>
      <c r="C92" t="s">
        <v>69</v>
      </c>
      <c r="D92" t="s">
        <v>30</v>
      </c>
      <c r="E92" t="s">
        <v>36</v>
      </c>
      <c r="F92" t="s">
        <v>42</v>
      </c>
      <c r="G92" t="s">
        <v>84</v>
      </c>
      <c r="H92">
        <v>42</v>
      </c>
      <c r="I92" s="1">
        <v>41742</v>
      </c>
      <c r="J92" s="2">
        <v>106726</v>
      </c>
      <c r="K92" s="3">
        <v>0.09</v>
      </c>
      <c r="L92" t="s">
        <v>25</v>
      </c>
      <c r="M92" t="s">
        <v>44</v>
      </c>
      <c r="N92" s="2">
        <f>Employee_Data[[#This Row],[Basic Salary]]*10%</f>
        <v>889.38333333333344</v>
      </c>
      <c r="O92" s="4">
        <f>Employee_Data[[#This Row],[Basic Salary]]*7.5%</f>
        <v>667.03750000000002</v>
      </c>
      <c r="P92" s="2">
        <f>Employee_Data[[#This Row],[Basic Salary]]*3%</f>
        <v>266.815</v>
      </c>
      <c r="Q92" s="2">
        <f>SUM(Employee_Data[[#This Row],[Basic Salary]],Employee_Data[[#This Row],[HRA]],Employee_Data[[#This Row],[MA]],Employee_Data[[#This Row],[TA]])</f>
        <v>10717.069166666668</v>
      </c>
      <c r="R92" s="4">
        <f>Employee_Data[[#This Row],[Basic Salary]]*12.5%</f>
        <v>1111.7291666666667</v>
      </c>
      <c r="S92" s="2">
        <f>Employee_Data[[#This Row],[Annual Salary]]/12</f>
        <v>8893.8333333333339</v>
      </c>
    </row>
    <row r="93" spans="1:19" x14ac:dyDescent="0.3">
      <c r="A93" t="s">
        <v>256</v>
      </c>
      <c r="B93" t="s">
        <v>257</v>
      </c>
      <c r="C93" t="s">
        <v>164</v>
      </c>
      <c r="D93" t="s">
        <v>4</v>
      </c>
      <c r="E93" t="s">
        <v>22</v>
      </c>
      <c r="F93" t="s">
        <v>42</v>
      </c>
      <c r="G93" t="s">
        <v>84</v>
      </c>
      <c r="H93">
        <v>37</v>
      </c>
      <c r="I93" s="1">
        <v>40846</v>
      </c>
      <c r="J93" s="2">
        <v>72637</v>
      </c>
      <c r="K93" s="3">
        <v>0</v>
      </c>
      <c r="L93" t="s">
        <v>25</v>
      </c>
      <c r="M93" t="s">
        <v>26</v>
      </c>
      <c r="N93" s="2">
        <f>Employee_Data[[#This Row],[Basic Salary]]*10%</f>
        <v>605.30833333333328</v>
      </c>
      <c r="O93" s="4">
        <f>Employee_Data[[#This Row],[Basic Salary]]*7.5%</f>
        <v>453.98124999999999</v>
      </c>
      <c r="P93" s="2">
        <f>Employee_Data[[#This Row],[Basic Salary]]*3%</f>
        <v>181.59249999999997</v>
      </c>
      <c r="Q93" s="2">
        <f>SUM(Employee_Data[[#This Row],[Basic Salary]],Employee_Data[[#This Row],[HRA]],Employee_Data[[#This Row],[MA]],Employee_Data[[#This Row],[TA]])</f>
        <v>7293.965416666666</v>
      </c>
      <c r="R93" s="4">
        <f>Employee_Data[[#This Row],[Basic Salary]]*12.5%</f>
        <v>756.63541666666663</v>
      </c>
      <c r="S93" s="2">
        <f>Employee_Data[[#This Row],[Annual Salary]]/12</f>
        <v>6053.083333333333</v>
      </c>
    </row>
    <row r="94" spans="1:19" x14ac:dyDescent="0.3">
      <c r="A94" t="s">
        <v>258</v>
      </c>
      <c r="B94" t="s">
        <v>259</v>
      </c>
      <c r="C94" t="s">
        <v>69</v>
      </c>
      <c r="D94" t="s">
        <v>80</v>
      </c>
      <c r="E94" t="s">
        <v>31</v>
      </c>
      <c r="F94" t="s">
        <v>42</v>
      </c>
      <c r="G94" t="s">
        <v>24</v>
      </c>
      <c r="H94">
        <v>27</v>
      </c>
      <c r="I94" s="1">
        <v>44900</v>
      </c>
      <c r="J94" s="2">
        <v>118304</v>
      </c>
      <c r="K94" s="3">
        <v>7.0000000000000007E-2</v>
      </c>
      <c r="L94" t="s">
        <v>37</v>
      </c>
      <c r="M94" t="s">
        <v>38</v>
      </c>
      <c r="N94" s="2">
        <f>Employee_Data[[#This Row],[Basic Salary]]*10%</f>
        <v>985.86666666666667</v>
      </c>
      <c r="O94" s="4">
        <f>Employee_Data[[#This Row],[Basic Salary]]*7.5%</f>
        <v>739.4</v>
      </c>
      <c r="P94" s="2">
        <f>Employee_Data[[#This Row],[Basic Salary]]*3%</f>
        <v>295.76</v>
      </c>
      <c r="Q94" s="2">
        <f>SUM(Employee_Data[[#This Row],[Basic Salary]],Employee_Data[[#This Row],[HRA]],Employee_Data[[#This Row],[MA]],Employee_Data[[#This Row],[TA]])</f>
        <v>11879.693333333333</v>
      </c>
      <c r="R94" s="4">
        <f>Employee_Data[[#This Row],[Basic Salary]]*12.5%</f>
        <v>1232.3333333333333</v>
      </c>
      <c r="S94" s="2">
        <f>Employee_Data[[#This Row],[Annual Salary]]/12</f>
        <v>9858.6666666666661</v>
      </c>
    </row>
    <row r="95" spans="1:19" x14ac:dyDescent="0.3">
      <c r="A95" t="s">
        <v>260</v>
      </c>
      <c r="B95" t="s">
        <v>261</v>
      </c>
      <c r="C95" t="s">
        <v>180</v>
      </c>
      <c r="D95" t="s">
        <v>4</v>
      </c>
      <c r="E95" t="s">
        <v>22</v>
      </c>
      <c r="F95" t="s">
        <v>23</v>
      </c>
      <c r="G95" t="s">
        <v>43</v>
      </c>
      <c r="H95">
        <v>55</v>
      </c>
      <c r="I95" s="1">
        <v>37789</v>
      </c>
      <c r="J95" s="2">
        <v>68592</v>
      </c>
      <c r="K95" s="3">
        <v>0.08</v>
      </c>
      <c r="L95" t="s">
        <v>137</v>
      </c>
      <c r="M95" t="s">
        <v>183</v>
      </c>
      <c r="N95" s="2">
        <f>Employee_Data[[#This Row],[Basic Salary]]*10%</f>
        <v>571.6</v>
      </c>
      <c r="O95" s="4">
        <f>Employee_Data[[#This Row],[Basic Salary]]*7.5%</f>
        <v>428.7</v>
      </c>
      <c r="P95" s="2">
        <f>Employee_Data[[#This Row],[Basic Salary]]*3%</f>
        <v>171.48</v>
      </c>
      <c r="Q95" s="2">
        <f>SUM(Employee_Data[[#This Row],[Basic Salary]],Employee_Data[[#This Row],[HRA]],Employee_Data[[#This Row],[MA]],Employee_Data[[#This Row],[TA]])</f>
        <v>6887.78</v>
      </c>
      <c r="R95" s="4">
        <f>Employee_Data[[#This Row],[Basic Salary]]*12.5%</f>
        <v>714.5</v>
      </c>
      <c r="S95" s="2">
        <f>Employee_Data[[#This Row],[Annual Salary]]/12</f>
        <v>5716</v>
      </c>
    </row>
    <row r="96" spans="1:19" x14ac:dyDescent="0.3">
      <c r="A96" t="s">
        <v>262</v>
      </c>
      <c r="B96" t="s">
        <v>263</v>
      </c>
      <c r="C96" t="s">
        <v>29</v>
      </c>
      <c r="D96" t="s">
        <v>55</v>
      </c>
      <c r="E96" t="s">
        <v>36</v>
      </c>
      <c r="F96" t="s">
        <v>42</v>
      </c>
      <c r="G96" t="s">
        <v>24</v>
      </c>
      <c r="H96">
        <v>46</v>
      </c>
      <c r="I96" s="1">
        <v>38808</v>
      </c>
      <c r="J96" s="2">
        <v>42532</v>
      </c>
      <c r="K96" s="3">
        <v>0</v>
      </c>
      <c r="L96" t="s">
        <v>37</v>
      </c>
      <c r="M96" t="s">
        <v>57</v>
      </c>
      <c r="N96" s="2">
        <f>Employee_Data[[#This Row],[Basic Salary]]*10%</f>
        <v>354.43333333333339</v>
      </c>
      <c r="O96" s="4">
        <f>Employee_Data[[#This Row],[Basic Salary]]*7.5%</f>
        <v>265.82499999999999</v>
      </c>
      <c r="P96" s="2">
        <f>Employee_Data[[#This Row],[Basic Salary]]*3%</f>
        <v>106.33</v>
      </c>
      <c r="Q96" s="2">
        <f>SUM(Employee_Data[[#This Row],[Basic Salary]],Employee_Data[[#This Row],[HRA]],Employee_Data[[#This Row],[MA]],Employee_Data[[#This Row],[TA]])</f>
        <v>4270.9216666666671</v>
      </c>
      <c r="R96" s="4">
        <f>Employee_Data[[#This Row],[Basic Salary]]*12.5%</f>
        <v>443.04166666666669</v>
      </c>
      <c r="S96" s="2">
        <f>Employee_Data[[#This Row],[Annual Salary]]/12</f>
        <v>3544.3333333333335</v>
      </c>
    </row>
    <row r="97" spans="1:19" x14ac:dyDescent="0.3">
      <c r="A97" t="s">
        <v>264</v>
      </c>
      <c r="B97" t="s">
        <v>265</v>
      </c>
      <c r="C97" t="s">
        <v>101</v>
      </c>
      <c r="D97" t="s">
        <v>4</v>
      </c>
      <c r="E97" t="s">
        <v>36</v>
      </c>
      <c r="F97" t="s">
        <v>23</v>
      </c>
      <c r="G97" t="s">
        <v>24</v>
      </c>
      <c r="H97">
        <v>37</v>
      </c>
      <c r="I97" s="1">
        <v>42236</v>
      </c>
      <c r="J97" s="2">
        <v>65073</v>
      </c>
      <c r="K97" s="3">
        <v>0</v>
      </c>
      <c r="L97" t="s">
        <v>37</v>
      </c>
      <c r="M97" t="s">
        <v>38</v>
      </c>
      <c r="N97" s="2">
        <f>Employee_Data[[#This Row],[Basic Salary]]*10%</f>
        <v>542.27499999999998</v>
      </c>
      <c r="O97" s="4">
        <f>Employee_Data[[#This Row],[Basic Salary]]*7.5%</f>
        <v>406.70625000000001</v>
      </c>
      <c r="P97" s="2">
        <f>Employee_Data[[#This Row],[Basic Salary]]*3%</f>
        <v>162.6825</v>
      </c>
      <c r="Q97" s="2">
        <f>SUM(Employee_Data[[#This Row],[Basic Salary]],Employee_Data[[#This Row],[HRA]],Employee_Data[[#This Row],[MA]],Employee_Data[[#This Row],[TA]])</f>
        <v>6534.4137499999997</v>
      </c>
      <c r="R97" s="4">
        <f>Employee_Data[[#This Row],[Basic Salary]]*12.5%</f>
        <v>677.84375</v>
      </c>
      <c r="S97" s="2">
        <f>Employee_Data[[#This Row],[Annual Salary]]/12</f>
        <v>5422.75</v>
      </c>
    </row>
    <row r="98" spans="1:19" x14ac:dyDescent="0.3">
      <c r="A98" t="s">
        <v>266</v>
      </c>
      <c r="B98" t="s">
        <v>267</v>
      </c>
      <c r="C98" t="s">
        <v>268</v>
      </c>
      <c r="D98" t="s">
        <v>21</v>
      </c>
      <c r="E98" t="s">
        <v>31</v>
      </c>
      <c r="F98" t="s">
        <v>23</v>
      </c>
      <c r="G98" t="s">
        <v>24</v>
      </c>
      <c r="H98">
        <v>32</v>
      </c>
      <c r="I98" s="1">
        <v>43730</v>
      </c>
      <c r="J98" s="2">
        <v>111035</v>
      </c>
      <c r="K98" s="3">
        <v>0.12</v>
      </c>
      <c r="L98" t="s">
        <v>25</v>
      </c>
      <c r="M98" t="s">
        <v>32</v>
      </c>
      <c r="N98" s="2">
        <f>Employee_Data[[#This Row],[Basic Salary]]*10%</f>
        <v>925.29166666666663</v>
      </c>
      <c r="O98" s="4">
        <f>Employee_Data[[#This Row],[Basic Salary]]*7.5%</f>
        <v>693.96874999999989</v>
      </c>
      <c r="P98" s="2">
        <f>Employee_Data[[#This Row],[Basic Salary]]*3%</f>
        <v>277.58749999999998</v>
      </c>
      <c r="Q98" s="2">
        <f>SUM(Employee_Data[[#This Row],[Basic Salary]],Employee_Data[[#This Row],[HRA]],Employee_Data[[#This Row],[MA]],Employee_Data[[#This Row],[TA]])</f>
        <v>11149.764583333332</v>
      </c>
      <c r="R98" s="4">
        <f>Employee_Data[[#This Row],[Basic Salary]]*12.5%</f>
        <v>1156.6145833333333</v>
      </c>
      <c r="S98" s="2">
        <f>Employee_Data[[#This Row],[Annual Salary]]/12</f>
        <v>9252.9166666666661</v>
      </c>
    </row>
    <row r="99" spans="1:19" x14ac:dyDescent="0.3">
      <c r="A99" t="s">
        <v>269</v>
      </c>
      <c r="B99" t="s">
        <v>270</v>
      </c>
      <c r="C99" t="s">
        <v>60</v>
      </c>
      <c r="D99" t="s">
        <v>61</v>
      </c>
      <c r="E99" t="s">
        <v>56</v>
      </c>
      <c r="F99" t="s">
        <v>42</v>
      </c>
      <c r="G99" t="s">
        <v>66</v>
      </c>
      <c r="H99">
        <v>28</v>
      </c>
      <c r="I99" s="1">
        <v>43868</v>
      </c>
      <c r="J99" s="2">
        <v>63066</v>
      </c>
      <c r="K99" s="3">
        <v>0</v>
      </c>
      <c r="L99" t="s">
        <v>25</v>
      </c>
      <c r="M99" t="s">
        <v>44</v>
      </c>
      <c r="N99" s="2">
        <f>Employee_Data[[#This Row],[Basic Salary]]*10%</f>
        <v>525.55000000000007</v>
      </c>
      <c r="O99" s="4">
        <f>Employee_Data[[#This Row],[Basic Salary]]*7.5%</f>
        <v>394.16249999999997</v>
      </c>
      <c r="P99" s="2">
        <f>Employee_Data[[#This Row],[Basic Salary]]*3%</f>
        <v>157.66499999999999</v>
      </c>
      <c r="Q99" s="2">
        <f>SUM(Employee_Data[[#This Row],[Basic Salary]],Employee_Data[[#This Row],[HRA]],Employee_Data[[#This Row],[MA]],Employee_Data[[#This Row],[TA]])</f>
        <v>6332.8775000000005</v>
      </c>
      <c r="R99" s="4">
        <f>Employee_Data[[#This Row],[Basic Salary]]*12.5%</f>
        <v>656.9375</v>
      </c>
      <c r="S99" s="2">
        <f>Employee_Data[[#This Row],[Annual Salary]]/12</f>
        <v>5255.5</v>
      </c>
    </row>
    <row r="100" spans="1:19" x14ac:dyDescent="0.3">
      <c r="A100" t="s">
        <v>271</v>
      </c>
      <c r="B100" t="s">
        <v>272</v>
      </c>
      <c r="C100" t="s">
        <v>47</v>
      </c>
      <c r="D100" t="s">
        <v>21</v>
      </c>
      <c r="E100" t="s">
        <v>31</v>
      </c>
      <c r="F100" t="s">
        <v>23</v>
      </c>
      <c r="G100" t="s">
        <v>43</v>
      </c>
      <c r="H100">
        <v>49</v>
      </c>
      <c r="I100" s="1">
        <v>39168</v>
      </c>
      <c r="J100" s="2">
        <v>186192</v>
      </c>
      <c r="K100" s="3">
        <v>0.27</v>
      </c>
      <c r="L100" t="s">
        <v>137</v>
      </c>
      <c r="M100" t="s">
        <v>183</v>
      </c>
      <c r="N100" s="2">
        <f>Employee_Data[[#This Row],[Basic Salary]]*10%</f>
        <v>1551.6000000000001</v>
      </c>
      <c r="O100" s="4">
        <f>Employee_Data[[#This Row],[Basic Salary]]*7.5%</f>
        <v>1163.7</v>
      </c>
      <c r="P100" s="2">
        <f>Employee_Data[[#This Row],[Basic Salary]]*3%</f>
        <v>465.47999999999996</v>
      </c>
      <c r="Q100" s="2">
        <f>SUM(Employee_Data[[#This Row],[Basic Salary]],Employee_Data[[#This Row],[HRA]],Employee_Data[[#This Row],[MA]],Employee_Data[[#This Row],[TA]])</f>
        <v>18696.78</v>
      </c>
      <c r="R100" s="4">
        <f>Employee_Data[[#This Row],[Basic Salary]]*12.5%</f>
        <v>1939.5</v>
      </c>
      <c r="S100" s="2">
        <f>Employee_Data[[#This Row],[Annual Salary]]/12</f>
        <v>15516</v>
      </c>
    </row>
    <row r="101" spans="1:19" x14ac:dyDescent="0.3">
      <c r="A101" t="s">
        <v>273</v>
      </c>
      <c r="B101" t="s">
        <v>274</v>
      </c>
      <c r="C101" t="s">
        <v>47</v>
      </c>
      <c r="D101" t="s">
        <v>21</v>
      </c>
      <c r="E101" t="s">
        <v>31</v>
      </c>
      <c r="F101" t="s">
        <v>42</v>
      </c>
      <c r="G101" t="s">
        <v>24</v>
      </c>
      <c r="H101">
        <v>52</v>
      </c>
      <c r="I101" s="1">
        <v>42539</v>
      </c>
      <c r="J101" s="2">
        <v>182938</v>
      </c>
      <c r="K101" s="3">
        <v>0.23</v>
      </c>
      <c r="L101" t="s">
        <v>37</v>
      </c>
      <c r="M101" t="s">
        <v>62</v>
      </c>
      <c r="N101" s="2">
        <f>Employee_Data[[#This Row],[Basic Salary]]*10%</f>
        <v>1524.4833333333336</v>
      </c>
      <c r="O101" s="4">
        <f>Employee_Data[[#This Row],[Basic Salary]]*7.5%</f>
        <v>1143.3625</v>
      </c>
      <c r="P101" s="2">
        <f>Employee_Data[[#This Row],[Basic Salary]]*3%</f>
        <v>457.34500000000003</v>
      </c>
      <c r="Q101" s="2">
        <f>SUM(Employee_Data[[#This Row],[Basic Salary]],Employee_Data[[#This Row],[HRA]],Employee_Data[[#This Row],[MA]],Employee_Data[[#This Row],[TA]])</f>
        <v>18370.024166666666</v>
      </c>
      <c r="R101" s="4">
        <f>Employee_Data[[#This Row],[Basic Salary]]*12.5%</f>
        <v>1905.6041666666667</v>
      </c>
      <c r="S101" s="2">
        <f>Employee_Data[[#This Row],[Annual Salary]]/12</f>
        <v>15244.833333333334</v>
      </c>
    </row>
    <row r="102" spans="1:19" x14ac:dyDescent="0.3">
      <c r="A102" t="s">
        <v>275</v>
      </c>
      <c r="B102" t="s">
        <v>276</v>
      </c>
      <c r="C102" t="s">
        <v>29</v>
      </c>
      <c r="D102" t="s">
        <v>55</v>
      </c>
      <c r="E102" t="s">
        <v>22</v>
      </c>
      <c r="F102" t="s">
        <v>42</v>
      </c>
      <c r="G102" t="s">
        <v>24</v>
      </c>
      <c r="H102">
        <v>61</v>
      </c>
      <c r="I102" s="1">
        <v>43081</v>
      </c>
      <c r="J102" s="2">
        <v>53931</v>
      </c>
      <c r="K102" s="3">
        <v>0</v>
      </c>
      <c r="L102" t="s">
        <v>37</v>
      </c>
      <c r="M102" t="s">
        <v>38</v>
      </c>
      <c r="N102" s="2">
        <f>Employee_Data[[#This Row],[Basic Salary]]*10%</f>
        <v>449.42500000000001</v>
      </c>
      <c r="O102" s="4">
        <f>Employee_Data[[#This Row],[Basic Salary]]*7.5%</f>
        <v>337.06874999999997</v>
      </c>
      <c r="P102" s="2">
        <f>Employee_Data[[#This Row],[Basic Salary]]*3%</f>
        <v>134.82749999999999</v>
      </c>
      <c r="Q102" s="2">
        <f>SUM(Employee_Data[[#This Row],[Basic Salary]],Employee_Data[[#This Row],[HRA]],Employee_Data[[#This Row],[MA]],Employee_Data[[#This Row],[TA]])</f>
        <v>5415.5712500000009</v>
      </c>
      <c r="R102" s="4">
        <f>Employee_Data[[#This Row],[Basic Salary]]*12.5%</f>
        <v>561.78125</v>
      </c>
      <c r="S102" s="2">
        <f>Employee_Data[[#This Row],[Annual Salary]]/12</f>
        <v>4494.25</v>
      </c>
    </row>
    <row r="103" spans="1:19" x14ac:dyDescent="0.3">
      <c r="A103" t="s">
        <v>277</v>
      </c>
      <c r="B103" t="s">
        <v>278</v>
      </c>
      <c r="C103" t="s">
        <v>89</v>
      </c>
      <c r="D103" t="s">
        <v>30</v>
      </c>
      <c r="E103" t="s">
        <v>56</v>
      </c>
      <c r="F103" t="s">
        <v>23</v>
      </c>
      <c r="G103" t="s">
        <v>24</v>
      </c>
      <c r="H103">
        <v>53</v>
      </c>
      <c r="I103" s="1">
        <v>41042</v>
      </c>
      <c r="J103" s="2">
        <v>252140</v>
      </c>
      <c r="K103" s="3">
        <v>0.38</v>
      </c>
      <c r="L103" t="s">
        <v>37</v>
      </c>
      <c r="M103" t="s">
        <v>111</v>
      </c>
      <c r="N103" s="2">
        <f>Employee_Data[[#This Row],[Basic Salary]]*10%</f>
        <v>2101.166666666667</v>
      </c>
      <c r="O103" s="4">
        <f>Employee_Data[[#This Row],[Basic Salary]]*7.5%</f>
        <v>1575.875</v>
      </c>
      <c r="P103" s="2">
        <f>Employee_Data[[#This Row],[Basic Salary]]*3%</f>
        <v>630.35</v>
      </c>
      <c r="Q103" s="2">
        <f>SUM(Employee_Data[[#This Row],[Basic Salary]],Employee_Data[[#This Row],[HRA]],Employee_Data[[#This Row],[MA]],Employee_Data[[#This Row],[TA]])</f>
        <v>25319.058333333334</v>
      </c>
      <c r="R103" s="4">
        <f>Employee_Data[[#This Row],[Basic Salary]]*12.5%</f>
        <v>2626.4583333333335</v>
      </c>
      <c r="S103" s="2">
        <f>Employee_Data[[#This Row],[Annual Salary]]/12</f>
        <v>21011.666666666668</v>
      </c>
    </row>
    <row r="104" spans="1:19" x14ac:dyDescent="0.3">
      <c r="A104" t="s">
        <v>279</v>
      </c>
      <c r="B104" t="s">
        <v>280</v>
      </c>
      <c r="C104" t="s">
        <v>232</v>
      </c>
      <c r="D104" t="s">
        <v>126</v>
      </c>
      <c r="E104" t="s">
        <v>31</v>
      </c>
      <c r="F104" t="s">
        <v>23</v>
      </c>
      <c r="G104" t="s">
        <v>24</v>
      </c>
      <c r="H104">
        <v>40</v>
      </c>
      <c r="I104" s="1">
        <v>43330</v>
      </c>
      <c r="J104" s="2">
        <v>73041</v>
      </c>
      <c r="K104" s="3">
        <v>0</v>
      </c>
      <c r="L104" t="s">
        <v>37</v>
      </c>
      <c r="M104" t="s">
        <v>38</v>
      </c>
      <c r="N104" s="2">
        <f>Employee_Data[[#This Row],[Basic Salary]]*10%</f>
        <v>608.67500000000007</v>
      </c>
      <c r="O104" s="4">
        <f>Employee_Data[[#This Row],[Basic Salary]]*7.5%</f>
        <v>456.50624999999997</v>
      </c>
      <c r="P104" s="2">
        <f>Employee_Data[[#This Row],[Basic Salary]]*3%</f>
        <v>182.60249999999999</v>
      </c>
      <c r="Q104" s="2">
        <f>SUM(Employee_Data[[#This Row],[Basic Salary]],Employee_Data[[#This Row],[HRA]],Employee_Data[[#This Row],[MA]],Employee_Data[[#This Row],[TA]])</f>
        <v>7334.5337500000005</v>
      </c>
      <c r="R104" s="4">
        <f>Employee_Data[[#This Row],[Basic Salary]]*12.5%</f>
        <v>760.84375</v>
      </c>
      <c r="S104" s="2">
        <f>Employee_Data[[#This Row],[Annual Salary]]/12</f>
        <v>6086.75</v>
      </c>
    </row>
    <row r="105" spans="1:19" x14ac:dyDescent="0.3">
      <c r="A105" t="s">
        <v>281</v>
      </c>
      <c r="B105" t="s">
        <v>282</v>
      </c>
      <c r="C105" t="s">
        <v>69</v>
      </c>
      <c r="D105" t="s">
        <v>61</v>
      </c>
      <c r="E105" t="s">
        <v>31</v>
      </c>
      <c r="F105" t="s">
        <v>23</v>
      </c>
      <c r="G105" t="s">
        <v>66</v>
      </c>
      <c r="H105">
        <v>27</v>
      </c>
      <c r="I105" s="1">
        <v>44634</v>
      </c>
      <c r="J105" s="2">
        <v>120315</v>
      </c>
      <c r="K105" s="3">
        <v>0.08</v>
      </c>
      <c r="L105" t="s">
        <v>25</v>
      </c>
      <c r="M105" t="s">
        <v>70</v>
      </c>
      <c r="N105" s="2">
        <f>Employee_Data[[#This Row],[Basic Salary]]*10%</f>
        <v>1002.625</v>
      </c>
      <c r="O105" s="4">
        <f>Employee_Data[[#This Row],[Basic Salary]]*7.5%</f>
        <v>751.96875</v>
      </c>
      <c r="P105" s="2">
        <f>Employee_Data[[#This Row],[Basic Salary]]*3%</f>
        <v>300.78749999999997</v>
      </c>
      <c r="Q105" s="2">
        <f>SUM(Employee_Data[[#This Row],[Basic Salary]],Employee_Data[[#This Row],[HRA]],Employee_Data[[#This Row],[MA]],Employee_Data[[#This Row],[TA]])</f>
        <v>12081.63125</v>
      </c>
      <c r="R105" s="4">
        <f>Employee_Data[[#This Row],[Basic Salary]]*12.5%</f>
        <v>1253.28125</v>
      </c>
      <c r="S105" s="2">
        <f>Employee_Data[[#This Row],[Annual Salary]]/12</f>
        <v>10026.25</v>
      </c>
    </row>
    <row r="106" spans="1:19" x14ac:dyDescent="0.3">
      <c r="A106" t="s">
        <v>283</v>
      </c>
      <c r="B106" t="s">
        <v>284</v>
      </c>
      <c r="C106" t="s">
        <v>69</v>
      </c>
      <c r="D106" t="s">
        <v>80</v>
      </c>
      <c r="E106" t="s">
        <v>56</v>
      </c>
      <c r="F106" t="s">
        <v>42</v>
      </c>
      <c r="G106" t="s">
        <v>66</v>
      </c>
      <c r="H106">
        <v>26</v>
      </c>
      <c r="I106" s="1">
        <v>44158</v>
      </c>
      <c r="J106" s="2">
        <v>112264</v>
      </c>
      <c r="K106" s="3">
        <v>0.05</v>
      </c>
      <c r="L106" t="s">
        <v>25</v>
      </c>
      <c r="M106" t="s">
        <v>32</v>
      </c>
      <c r="N106" s="2">
        <f>Employee_Data[[#This Row],[Basic Salary]]*10%</f>
        <v>935.53333333333342</v>
      </c>
      <c r="O106" s="4">
        <f>Employee_Data[[#This Row],[Basic Salary]]*7.5%</f>
        <v>701.65</v>
      </c>
      <c r="P106" s="2">
        <f>Employee_Data[[#This Row],[Basic Salary]]*3%</f>
        <v>280.66000000000003</v>
      </c>
      <c r="Q106" s="2">
        <f>SUM(Employee_Data[[#This Row],[Basic Salary]],Employee_Data[[#This Row],[HRA]],Employee_Data[[#This Row],[MA]],Employee_Data[[#This Row],[TA]])</f>
        <v>11273.176666666666</v>
      </c>
      <c r="R106" s="4">
        <f>Employee_Data[[#This Row],[Basic Salary]]*12.5%</f>
        <v>1169.4166666666667</v>
      </c>
      <c r="S106" s="2">
        <f>Employee_Data[[#This Row],[Annual Salary]]/12</f>
        <v>9355.3333333333339</v>
      </c>
    </row>
    <row r="107" spans="1:19" x14ac:dyDescent="0.3">
      <c r="A107" t="s">
        <v>285</v>
      </c>
      <c r="B107" t="s">
        <v>286</v>
      </c>
      <c r="C107" t="s">
        <v>73</v>
      </c>
      <c r="D107" t="s">
        <v>4</v>
      </c>
      <c r="E107" t="s">
        <v>56</v>
      </c>
      <c r="F107" t="s">
        <v>23</v>
      </c>
      <c r="G107" t="s">
        <v>66</v>
      </c>
      <c r="H107">
        <v>53</v>
      </c>
      <c r="I107" s="1">
        <v>36546</v>
      </c>
      <c r="J107" s="2">
        <v>55039</v>
      </c>
      <c r="K107" s="3">
        <v>0</v>
      </c>
      <c r="L107" t="s">
        <v>25</v>
      </c>
      <c r="M107" t="s">
        <v>44</v>
      </c>
      <c r="N107" s="2">
        <f>Employee_Data[[#This Row],[Basic Salary]]*10%</f>
        <v>458.6583333333333</v>
      </c>
      <c r="O107" s="4">
        <f>Employee_Data[[#This Row],[Basic Salary]]*7.5%</f>
        <v>343.99374999999998</v>
      </c>
      <c r="P107" s="2">
        <f>Employee_Data[[#This Row],[Basic Salary]]*3%</f>
        <v>137.5975</v>
      </c>
      <c r="Q107" s="2">
        <f>SUM(Employee_Data[[#This Row],[Basic Salary]],Employee_Data[[#This Row],[HRA]],Employee_Data[[#This Row],[MA]],Employee_Data[[#This Row],[TA]])</f>
        <v>5526.8329166666663</v>
      </c>
      <c r="R107" s="4">
        <f>Employee_Data[[#This Row],[Basic Salary]]*12.5%</f>
        <v>573.32291666666663</v>
      </c>
      <c r="S107" s="2">
        <f>Employee_Data[[#This Row],[Annual Salary]]/12</f>
        <v>4586.583333333333</v>
      </c>
    </row>
    <row r="108" spans="1:19" x14ac:dyDescent="0.3">
      <c r="A108" t="s">
        <v>287</v>
      </c>
      <c r="B108" t="s">
        <v>288</v>
      </c>
      <c r="C108" t="s">
        <v>83</v>
      </c>
      <c r="D108" t="s">
        <v>55</v>
      </c>
      <c r="E108" t="s">
        <v>56</v>
      </c>
      <c r="F108" t="s">
        <v>23</v>
      </c>
      <c r="G108" t="s">
        <v>43</v>
      </c>
      <c r="H108">
        <v>33</v>
      </c>
      <c r="I108" s="1">
        <v>41484</v>
      </c>
      <c r="J108" s="2">
        <v>134782</v>
      </c>
      <c r="K108" s="3">
        <v>0.15</v>
      </c>
      <c r="L108" t="s">
        <v>137</v>
      </c>
      <c r="M108" t="s">
        <v>289</v>
      </c>
      <c r="N108" s="2">
        <f>Employee_Data[[#This Row],[Basic Salary]]*10%</f>
        <v>1123.1833333333334</v>
      </c>
      <c r="O108" s="4">
        <f>Employee_Data[[#This Row],[Basic Salary]]*7.5%</f>
        <v>842.38750000000005</v>
      </c>
      <c r="P108" s="2">
        <f>Employee_Data[[#This Row],[Basic Salary]]*3%</f>
        <v>336.95499999999998</v>
      </c>
      <c r="Q108" s="2">
        <f>SUM(Employee_Data[[#This Row],[Basic Salary]],Employee_Data[[#This Row],[HRA]],Employee_Data[[#This Row],[MA]],Employee_Data[[#This Row],[TA]])</f>
        <v>13534.359166666667</v>
      </c>
      <c r="R108" s="4">
        <f>Employee_Data[[#This Row],[Basic Salary]]*12.5%</f>
        <v>1403.9791666666667</v>
      </c>
      <c r="S108" s="2">
        <f>Employee_Data[[#This Row],[Annual Salary]]/12</f>
        <v>11231.833333333334</v>
      </c>
    </row>
    <row r="109" spans="1:19" x14ac:dyDescent="0.3">
      <c r="A109" t="s">
        <v>290</v>
      </c>
      <c r="B109" t="s">
        <v>291</v>
      </c>
      <c r="C109" t="s">
        <v>292</v>
      </c>
      <c r="D109" t="s">
        <v>21</v>
      </c>
      <c r="E109" t="s">
        <v>22</v>
      </c>
      <c r="F109" t="s">
        <v>42</v>
      </c>
      <c r="G109" t="s">
        <v>24</v>
      </c>
      <c r="H109">
        <v>27</v>
      </c>
      <c r="I109" s="1">
        <v>44907</v>
      </c>
      <c r="J109" s="2">
        <v>92806</v>
      </c>
      <c r="K109" s="3">
        <v>0</v>
      </c>
      <c r="L109" t="s">
        <v>37</v>
      </c>
      <c r="M109" t="s">
        <v>62</v>
      </c>
      <c r="N109" s="2">
        <f>Employee_Data[[#This Row],[Basic Salary]]*10%</f>
        <v>773.38333333333333</v>
      </c>
      <c r="O109" s="4">
        <f>Employee_Data[[#This Row],[Basic Salary]]*7.5%</f>
        <v>580.03749999999991</v>
      </c>
      <c r="P109" s="2">
        <f>Employee_Data[[#This Row],[Basic Salary]]*3%</f>
        <v>232.01499999999999</v>
      </c>
      <c r="Q109" s="2">
        <f>SUM(Employee_Data[[#This Row],[Basic Salary]],Employee_Data[[#This Row],[HRA]],Employee_Data[[#This Row],[MA]],Employee_Data[[#This Row],[TA]])</f>
        <v>9319.2691666666669</v>
      </c>
      <c r="R109" s="4">
        <f>Employee_Data[[#This Row],[Basic Salary]]*12.5%</f>
        <v>966.72916666666663</v>
      </c>
      <c r="S109" s="2">
        <f>Employee_Data[[#This Row],[Annual Salary]]/12</f>
        <v>7733.833333333333</v>
      </c>
    </row>
    <row r="110" spans="1:19" x14ac:dyDescent="0.3">
      <c r="A110" t="s">
        <v>293</v>
      </c>
      <c r="B110" t="s">
        <v>294</v>
      </c>
      <c r="C110" t="s">
        <v>89</v>
      </c>
      <c r="D110" t="s">
        <v>80</v>
      </c>
      <c r="E110" t="s">
        <v>31</v>
      </c>
      <c r="F110" t="s">
        <v>42</v>
      </c>
      <c r="G110" t="s">
        <v>43</v>
      </c>
      <c r="H110">
        <v>56</v>
      </c>
      <c r="I110" s="1">
        <v>42553</v>
      </c>
      <c r="J110" s="2">
        <v>181028</v>
      </c>
      <c r="K110" s="3">
        <v>0.38</v>
      </c>
      <c r="L110" t="s">
        <v>25</v>
      </c>
      <c r="M110" t="s">
        <v>51</v>
      </c>
      <c r="N110" s="2">
        <f>Employee_Data[[#This Row],[Basic Salary]]*10%</f>
        <v>1508.5666666666666</v>
      </c>
      <c r="O110" s="4">
        <f>Employee_Data[[#This Row],[Basic Salary]]*7.5%</f>
        <v>1131.425</v>
      </c>
      <c r="P110" s="2">
        <f>Employee_Data[[#This Row],[Basic Salary]]*3%</f>
        <v>452.57</v>
      </c>
      <c r="Q110" s="2">
        <f>SUM(Employee_Data[[#This Row],[Basic Salary]],Employee_Data[[#This Row],[HRA]],Employee_Data[[#This Row],[MA]],Employee_Data[[#This Row],[TA]])</f>
        <v>18178.228333333333</v>
      </c>
      <c r="R110" s="4">
        <f>Employee_Data[[#This Row],[Basic Salary]]*12.5%</f>
        <v>1885.7083333333333</v>
      </c>
      <c r="S110" s="2">
        <f>Employee_Data[[#This Row],[Annual Salary]]/12</f>
        <v>15085.666666666666</v>
      </c>
    </row>
    <row r="111" spans="1:19" x14ac:dyDescent="0.3">
      <c r="A111" t="s">
        <v>295</v>
      </c>
      <c r="B111" t="s">
        <v>296</v>
      </c>
      <c r="C111" t="s">
        <v>29</v>
      </c>
      <c r="D111" t="s">
        <v>30</v>
      </c>
      <c r="E111" t="s">
        <v>31</v>
      </c>
      <c r="F111" t="s">
        <v>42</v>
      </c>
      <c r="G111" t="s">
        <v>43</v>
      </c>
      <c r="H111">
        <v>36</v>
      </c>
      <c r="I111" s="1">
        <v>41550</v>
      </c>
      <c r="J111" s="2">
        <v>48117</v>
      </c>
      <c r="K111" s="3">
        <v>0</v>
      </c>
      <c r="L111" t="s">
        <v>137</v>
      </c>
      <c r="M111" t="s">
        <v>183</v>
      </c>
      <c r="N111" s="2">
        <f>Employee_Data[[#This Row],[Basic Salary]]*10%</f>
        <v>400.97500000000002</v>
      </c>
      <c r="O111" s="4">
        <f>Employee_Data[[#This Row],[Basic Salary]]*7.5%</f>
        <v>300.73124999999999</v>
      </c>
      <c r="P111" s="2">
        <f>Employee_Data[[#This Row],[Basic Salary]]*3%</f>
        <v>120.29249999999999</v>
      </c>
      <c r="Q111" s="2">
        <f>SUM(Employee_Data[[#This Row],[Basic Salary]],Employee_Data[[#This Row],[HRA]],Employee_Data[[#This Row],[MA]],Employee_Data[[#This Row],[TA]])</f>
        <v>4831.7487499999997</v>
      </c>
      <c r="R111" s="4">
        <f>Employee_Data[[#This Row],[Basic Salary]]*12.5%</f>
        <v>501.21875</v>
      </c>
      <c r="S111" s="2">
        <f>Employee_Data[[#This Row],[Annual Salary]]/12</f>
        <v>4009.75</v>
      </c>
    </row>
    <row r="112" spans="1:19" x14ac:dyDescent="0.3">
      <c r="A112" t="s">
        <v>297</v>
      </c>
      <c r="B112" t="s">
        <v>298</v>
      </c>
      <c r="C112" t="s">
        <v>47</v>
      </c>
      <c r="D112" t="s">
        <v>80</v>
      </c>
      <c r="E112" t="s">
        <v>31</v>
      </c>
      <c r="F112" t="s">
        <v>42</v>
      </c>
      <c r="G112" t="s">
        <v>24</v>
      </c>
      <c r="H112">
        <v>47</v>
      </c>
      <c r="I112" s="1">
        <v>38358</v>
      </c>
      <c r="J112" s="2">
        <v>192753</v>
      </c>
      <c r="K112" s="3">
        <v>0.17</v>
      </c>
      <c r="L112" t="s">
        <v>37</v>
      </c>
      <c r="M112" t="s">
        <v>57</v>
      </c>
      <c r="N112" s="2">
        <f>Employee_Data[[#This Row],[Basic Salary]]*10%</f>
        <v>1606.2750000000001</v>
      </c>
      <c r="O112" s="4">
        <f>Employee_Data[[#This Row],[Basic Salary]]*7.5%</f>
        <v>1204.70625</v>
      </c>
      <c r="P112" s="2">
        <f>Employee_Data[[#This Row],[Basic Salary]]*3%</f>
        <v>481.88249999999999</v>
      </c>
      <c r="Q112" s="2">
        <f>SUM(Employee_Data[[#This Row],[Basic Salary]],Employee_Data[[#This Row],[HRA]],Employee_Data[[#This Row],[MA]],Employee_Data[[#This Row],[TA]])</f>
        <v>19355.61375</v>
      </c>
      <c r="R112" s="4">
        <f>Employee_Data[[#This Row],[Basic Salary]]*12.5%</f>
        <v>2007.84375</v>
      </c>
      <c r="S112" s="2">
        <f>Employee_Data[[#This Row],[Annual Salary]]/12</f>
        <v>16062.75</v>
      </c>
    </row>
    <row r="113" spans="1:19" x14ac:dyDescent="0.3">
      <c r="A113" t="s">
        <v>299</v>
      </c>
      <c r="B113" t="s">
        <v>300</v>
      </c>
      <c r="C113" t="s">
        <v>54</v>
      </c>
      <c r="D113" t="s">
        <v>30</v>
      </c>
      <c r="E113" t="s">
        <v>22</v>
      </c>
      <c r="F113" t="s">
        <v>23</v>
      </c>
      <c r="G113" t="s">
        <v>24</v>
      </c>
      <c r="H113">
        <v>28</v>
      </c>
      <c r="I113" s="1">
        <v>44259</v>
      </c>
      <c r="J113" s="2">
        <v>85206</v>
      </c>
      <c r="K113" s="3">
        <v>0</v>
      </c>
      <c r="L113" t="s">
        <v>37</v>
      </c>
      <c r="M113" t="s">
        <v>57</v>
      </c>
      <c r="N113" s="2">
        <f>Employee_Data[[#This Row],[Basic Salary]]*10%</f>
        <v>710.05000000000007</v>
      </c>
      <c r="O113" s="4">
        <f>Employee_Data[[#This Row],[Basic Salary]]*7.5%</f>
        <v>532.53750000000002</v>
      </c>
      <c r="P113" s="2">
        <f>Employee_Data[[#This Row],[Basic Salary]]*3%</f>
        <v>213.01499999999999</v>
      </c>
      <c r="Q113" s="2">
        <f>SUM(Employee_Data[[#This Row],[Basic Salary]],Employee_Data[[#This Row],[HRA]],Employee_Data[[#This Row],[MA]],Employee_Data[[#This Row],[TA]])</f>
        <v>8556.1024999999991</v>
      </c>
      <c r="R113" s="4">
        <f>Employee_Data[[#This Row],[Basic Salary]]*12.5%</f>
        <v>887.5625</v>
      </c>
      <c r="S113" s="2">
        <f>Employee_Data[[#This Row],[Annual Salary]]/12</f>
        <v>7100.5</v>
      </c>
    </row>
    <row r="114" spans="1:19" x14ac:dyDescent="0.3">
      <c r="A114" t="s">
        <v>301</v>
      </c>
      <c r="B114" t="s">
        <v>302</v>
      </c>
      <c r="C114" t="s">
        <v>104</v>
      </c>
      <c r="D114" t="s">
        <v>30</v>
      </c>
      <c r="E114" t="s">
        <v>22</v>
      </c>
      <c r="F114" t="s">
        <v>23</v>
      </c>
      <c r="G114" t="s">
        <v>43</v>
      </c>
      <c r="H114">
        <v>30</v>
      </c>
      <c r="I114" s="1">
        <v>43107</v>
      </c>
      <c r="J114" s="2">
        <v>58290</v>
      </c>
      <c r="K114" s="3">
        <v>0</v>
      </c>
      <c r="L114" t="s">
        <v>25</v>
      </c>
      <c r="M114" t="s">
        <v>32</v>
      </c>
      <c r="N114" s="2">
        <f>Employee_Data[[#This Row],[Basic Salary]]*10%</f>
        <v>485.75</v>
      </c>
      <c r="O114" s="4">
        <f>Employee_Data[[#This Row],[Basic Salary]]*7.5%</f>
        <v>364.3125</v>
      </c>
      <c r="P114" s="2">
        <f>Employee_Data[[#This Row],[Basic Salary]]*3%</f>
        <v>145.72499999999999</v>
      </c>
      <c r="Q114" s="2">
        <f>SUM(Employee_Data[[#This Row],[Basic Salary]],Employee_Data[[#This Row],[HRA]],Employee_Data[[#This Row],[MA]],Employee_Data[[#This Row],[TA]])</f>
        <v>5853.2875000000004</v>
      </c>
      <c r="R114" s="4">
        <f>Employee_Data[[#This Row],[Basic Salary]]*12.5%</f>
        <v>607.1875</v>
      </c>
      <c r="S114" s="2">
        <f>Employee_Data[[#This Row],[Annual Salary]]/12</f>
        <v>4857.5</v>
      </c>
    </row>
    <row r="115" spans="1:19" x14ac:dyDescent="0.3">
      <c r="A115" t="s">
        <v>303</v>
      </c>
      <c r="B115" t="s">
        <v>304</v>
      </c>
      <c r="C115" t="s">
        <v>73</v>
      </c>
      <c r="D115" t="s">
        <v>4</v>
      </c>
      <c r="E115" t="s">
        <v>36</v>
      </c>
      <c r="F115" t="s">
        <v>42</v>
      </c>
      <c r="G115" t="s">
        <v>24</v>
      </c>
      <c r="H115">
        <v>58</v>
      </c>
      <c r="I115" s="1">
        <v>37861</v>
      </c>
      <c r="J115" s="2">
        <v>41946</v>
      </c>
      <c r="K115" s="3">
        <v>0</v>
      </c>
      <c r="L115" t="s">
        <v>25</v>
      </c>
      <c r="M115" t="s">
        <v>51</v>
      </c>
      <c r="N115" s="2">
        <f>Employee_Data[[#This Row],[Basic Salary]]*10%</f>
        <v>349.55</v>
      </c>
      <c r="O115" s="4">
        <f>Employee_Data[[#This Row],[Basic Salary]]*7.5%</f>
        <v>262.16249999999997</v>
      </c>
      <c r="P115" s="2">
        <f>Employee_Data[[#This Row],[Basic Salary]]*3%</f>
        <v>104.86499999999999</v>
      </c>
      <c r="Q115" s="2">
        <f>SUM(Employee_Data[[#This Row],[Basic Salary]],Employee_Data[[#This Row],[HRA]],Employee_Data[[#This Row],[MA]],Employee_Data[[#This Row],[TA]])</f>
        <v>4212.0775000000003</v>
      </c>
      <c r="R115" s="4">
        <f>Employee_Data[[#This Row],[Basic Salary]]*12.5%</f>
        <v>436.9375</v>
      </c>
      <c r="S115" s="2">
        <f>Employee_Data[[#This Row],[Annual Salary]]/12</f>
        <v>3495.5</v>
      </c>
    </row>
    <row r="116" spans="1:19" x14ac:dyDescent="0.3">
      <c r="A116" t="s">
        <v>305</v>
      </c>
      <c r="B116" t="s">
        <v>306</v>
      </c>
      <c r="C116" t="s">
        <v>94</v>
      </c>
      <c r="D116" t="s">
        <v>4</v>
      </c>
      <c r="E116" t="s">
        <v>31</v>
      </c>
      <c r="F116" t="s">
        <v>42</v>
      </c>
      <c r="G116" t="s">
        <v>24</v>
      </c>
      <c r="H116">
        <v>56</v>
      </c>
      <c r="I116" s="1">
        <v>44270</v>
      </c>
      <c r="J116" s="2">
        <v>79388</v>
      </c>
      <c r="K116" s="3">
        <v>0</v>
      </c>
      <c r="L116" t="s">
        <v>37</v>
      </c>
      <c r="M116" t="s">
        <v>111</v>
      </c>
      <c r="N116" s="2">
        <f>Employee_Data[[#This Row],[Basic Salary]]*10%</f>
        <v>661.56666666666672</v>
      </c>
      <c r="O116" s="4">
        <f>Employee_Data[[#This Row],[Basic Salary]]*7.5%</f>
        <v>496.17500000000001</v>
      </c>
      <c r="P116" s="2">
        <f>Employee_Data[[#This Row],[Basic Salary]]*3%</f>
        <v>198.47</v>
      </c>
      <c r="Q116" s="2">
        <f>SUM(Employee_Data[[#This Row],[Basic Salary]],Employee_Data[[#This Row],[HRA]],Employee_Data[[#This Row],[MA]],Employee_Data[[#This Row],[TA]])</f>
        <v>7971.878333333334</v>
      </c>
      <c r="R116" s="4">
        <f>Employee_Data[[#This Row],[Basic Salary]]*12.5%</f>
        <v>826.95833333333337</v>
      </c>
      <c r="S116" s="2">
        <f>Employee_Data[[#This Row],[Annual Salary]]/12</f>
        <v>6615.666666666667</v>
      </c>
    </row>
    <row r="117" spans="1:19" x14ac:dyDescent="0.3">
      <c r="A117" t="s">
        <v>307</v>
      </c>
      <c r="B117" t="s">
        <v>308</v>
      </c>
      <c r="C117" t="s">
        <v>35</v>
      </c>
      <c r="D117" t="s">
        <v>4</v>
      </c>
      <c r="E117" t="s">
        <v>31</v>
      </c>
      <c r="F117" t="s">
        <v>42</v>
      </c>
      <c r="G117" t="s">
        <v>24</v>
      </c>
      <c r="H117">
        <v>65</v>
      </c>
      <c r="I117" s="1">
        <v>37312</v>
      </c>
      <c r="J117" s="2">
        <v>83854</v>
      </c>
      <c r="K117" s="3">
        <v>0</v>
      </c>
      <c r="L117" t="s">
        <v>25</v>
      </c>
      <c r="M117" t="s">
        <v>44</v>
      </c>
      <c r="N117" s="2">
        <f>Employee_Data[[#This Row],[Basic Salary]]*10%</f>
        <v>698.7833333333333</v>
      </c>
      <c r="O117" s="4">
        <f>Employee_Data[[#This Row],[Basic Salary]]*7.5%</f>
        <v>524.08749999999998</v>
      </c>
      <c r="P117" s="2">
        <f>Employee_Data[[#This Row],[Basic Salary]]*3%</f>
        <v>209.63499999999999</v>
      </c>
      <c r="Q117" s="2">
        <f>SUM(Employee_Data[[#This Row],[Basic Salary]],Employee_Data[[#This Row],[HRA]],Employee_Data[[#This Row],[MA]],Employee_Data[[#This Row],[TA]])</f>
        <v>8420.3391666666666</v>
      </c>
      <c r="R117" s="4">
        <f>Employee_Data[[#This Row],[Basic Salary]]*12.5%</f>
        <v>873.47916666666663</v>
      </c>
      <c r="S117" s="2">
        <f>Employee_Data[[#This Row],[Annual Salary]]/12</f>
        <v>6987.833333333333</v>
      </c>
    </row>
    <row r="118" spans="1:19" x14ac:dyDescent="0.3">
      <c r="A118" t="s">
        <v>309</v>
      </c>
      <c r="B118" t="s">
        <v>310</v>
      </c>
      <c r="C118" t="s">
        <v>83</v>
      </c>
      <c r="D118" t="s">
        <v>4</v>
      </c>
      <c r="E118" t="s">
        <v>56</v>
      </c>
      <c r="F118" t="s">
        <v>42</v>
      </c>
      <c r="G118" t="s">
        <v>66</v>
      </c>
      <c r="H118">
        <v>29</v>
      </c>
      <c r="I118" s="1">
        <v>43214</v>
      </c>
      <c r="J118" s="2">
        <v>126550</v>
      </c>
      <c r="K118" s="3">
        <v>0.15</v>
      </c>
      <c r="L118" t="s">
        <v>25</v>
      </c>
      <c r="M118" t="s">
        <v>70</v>
      </c>
      <c r="N118" s="2">
        <f>Employee_Data[[#This Row],[Basic Salary]]*10%</f>
        <v>1054.5833333333335</v>
      </c>
      <c r="O118" s="4">
        <f>Employee_Data[[#This Row],[Basic Salary]]*7.5%</f>
        <v>790.9375</v>
      </c>
      <c r="P118" s="2">
        <f>Employee_Data[[#This Row],[Basic Salary]]*3%</f>
        <v>316.375</v>
      </c>
      <c r="Q118" s="2">
        <f>SUM(Employee_Data[[#This Row],[Basic Salary]],Employee_Data[[#This Row],[HRA]],Employee_Data[[#This Row],[MA]],Employee_Data[[#This Row],[TA]])</f>
        <v>12707.729166666668</v>
      </c>
      <c r="R118" s="4">
        <f>Employee_Data[[#This Row],[Basic Salary]]*12.5%</f>
        <v>1318.2291666666667</v>
      </c>
      <c r="S118" s="2">
        <f>Employee_Data[[#This Row],[Annual Salary]]/12</f>
        <v>10545.833333333334</v>
      </c>
    </row>
    <row r="119" spans="1:19" x14ac:dyDescent="0.3">
      <c r="A119" t="s">
        <v>311</v>
      </c>
      <c r="B119" t="s">
        <v>312</v>
      </c>
      <c r="C119" t="s">
        <v>47</v>
      </c>
      <c r="D119" t="s">
        <v>126</v>
      </c>
      <c r="E119" t="s">
        <v>36</v>
      </c>
      <c r="F119" t="s">
        <v>42</v>
      </c>
      <c r="G119" t="s">
        <v>43</v>
      </c>
      <c r="H119">
        <v>60</v>
      </c>
      <c r="I119" s="1">
        <v>34243</v>
      </c>
      <c r="J119" s="2">
        <v>199705</v>
      </c>
      <c r="K119" s="3">
        <v>0.26</v>
      </c>
      <c r="L119" t="s">
        <v>137</v>
      </c>
      <c r="M119" t="s">
        <v>138</v>
      </c>
      <c r="N119" s="2">
        <f>Employee_Data[[#This Row],[Basic Salary]]*10%</f>
        <v>1664.2083333333333</v>
      </c>
      <c r="O119" s="4">
        <f>Employee_Data[[#This Row],[Basic Salary]]*7.5%</f>
        <v>1248.1562499999998</v>
      </c>
      <c r="P119" s="2">
        <f>Employee_Data[[#This Row],[Basic Salary]]*3%</f>
        <v>499.26249999999993</v>
      </c>
      <c r="Q119" s="2">
        <f>SUM(Employee_Data[[#This Row],[Basic Salary]],Employee_Data[[#This Row],[HRA]],Employee_Data[[#This Row],[MA]],Employee_Data[[#This Row],[TA]])</f>
        <v>20053.710416666665</v>
      </c>
      <c r="R119" s="4">
        <f>Employee_Data[[#This Row],[Basic Salary]]*12.5%</f>
        <v>2080.2604166666665</v>
      </c>
      <c r="S119" s="2">
        <f>Employee_Data[[#This Row],[Annual Salary]]/12</f>
        <v>16642.083333333332</v>
      </c>
    </row>
    <row r="120" spans="1:19" x14ac:dyDescent="0.3">
      <c r="A120" t="s">
        <v>313</v>
      </c>
      <c r="B120" t="s">
        <v>314</v>
      </c>
      <c r="C120" t="s">
        <v>89</v>
      </c>
      <c r="D120" t="s">
        <v>30</v>
      </c>
      <c r="E120" t="s">
        <v>56</v>
      </c>
      <c r="F120" t="s">
        <v>42</v>
      </c>
      <c r="G120" t="s">
        <v>24</v>
      </c>
      <c r="H120">
        <v>31</v>
      </c>
      <c r="I120" s="1">
        <v>43564</v>
      </c>
      <c r="J120" s="2">
        <v>201235</v>
      </c>
      <c r="K120" s="3">
        <v>0.32</v>
      </c>
      <c r="L120" t="s">
        <v>25</v>
      </c>
      <c r="M120" t="s">
        <v>48</v>
      </c>
      <c r="N120" s="2">
        <f>Employee_Data[[#This Row],[Basic Salary]]*10%</f>
        <v>1676.9583333333333</v>
      </c>
      <c r="O120" s="4">
        <f>Employee_Data[[#This Row],[Basic Salary]]*7.5%</f>
        <v>1257.7187499999998</v>
      </c>
      <c r="P120" s="2">
        <f>Employee_Data[[#This Row],[Basic Salary]]*3%</f>
        <v>503.08749999999992</v>
      </c>
      <c r="Q120" s="2">
        <f>SUM(Employee_Data[[#This Row],[Basic Salary]],Employee_Data[[#This Row],[HRA]],Employee_Data[[#This Row],[MA]],Employee_Data[[#This Row],[TA]])</f>
        <v>20207.347916666666</v>
      </c>
      <c r="R120" s="4">
        <f>Employee_Data[[#This Row],[Basic Salary]]*12.5%</f>
        <v>2096.1979166666665</v>
      </c>
      <c r="S120" s="2">
        <f>Employee_Data[[#This Row],[Annual Salary]]/12</f>
        <v>16769.583333333332</v>
      </c>
    </row>
    <row r="121" spans="1:19" x14ac:dyDescent="0.3">
      <c r="A121" t="s">
        <v>315</v>
      </c>
      <c r="B121" t="s">
        <v>316</v>
      </c>
      <c r="C121" t="s">
        <v>47</v>
      </c>
      <c r="D121" t="s">
        <v>21</v>
      </c>
      <c r="E121" t="s">
        <v>56</v>
      </c>
      <c r="F121" t="s">
        <v>42</v>
      </c>
      <c r="G121" t="s">
        <v>24</v>
      </c>
      <c r="H121">
        <v>45</v>
      </c>
      <c r="I121" s="1">
        <v>44636</v>
      </c>
      <c r="J121" s="2">
        <v>182717</v>
      </c>
      <c r="K121" s="3">
        <v>0.26</v>
      </c>
      <c r="L121" t="s">
        <v>25</v>
      </c>
      <c r="M121" t="s">
        <v>26</v>
      </c>
      <c r="N121" s="2">
        <f>Employee_Data[[#This Row],[Basic Salary]]*10%</f>
        <v>1522.6416666666667</v>
      </c>
      <c r="O121" s="4">
        <f>Employee_Data[[#This Row],[Basic Salary]]*7.5%</f>
        <v>1141.9812499999998</v>
      </c>
      <c r="P121" s="2">
        <f>Employee_Data[[#This Row],[Basic Salary]]*3%</f>
        <v>456.79249999999996</v>
      </c>
      <c r="Q121" s="2">
        <f>SUM(Employee_Data[[#This Row],[Basic Salary]],Employee_Data[[#This Row],[HRA]],Employee_Data[[#This Row],[MA]],Employee_Data[[#This Row],[TA]])</f>
        <v>18347.832083333335</v>
      </c>
      <c r="R121" s="4">
        <f>Employee_Data[[#This Row],[Basic Salary]]*12.5%</f>
        <v>1903.3020833333333</v>
      </c>
      <c r="S121" s="2">
        <f>Employee_Data[[#This Row],[Annual Salary]]/12</f>
        <v>15226.416666666666</v>
      </c>
    </row>
    <row r="122" spans="1:19" x14ac:dyDescent="0.3">
      <c r="A122" t="s">
        <v>317</v>
      </c>
      <c r="B122" t="s">
        <v>318</v>
      </c>
      <c r="C122" t="s">
        <v>173</v>
      </c>
      <c r="D122" t="s">
        <v>4</v>
      </c>
      <c r="E122" t="s">
        <v>36</v>
      </c>
      <c r="F122" t="s">
        <v>23</v>
      </c>
      <c r="G122" t="s">
        <v>84</v>
      </c>
      <c r="H122">
        <v>30</v>
      </c>
      <c r="I122" s="1">
        <v>42989</v>
      </c>
      <c r="J122" s="2">
        <v>79975</v>
      </c>
      <c r="K122" s="3">
        <v>0</v>
      </c>
      <c r="L122" t="s">
        <v>25</v>
      </c>
      <c r="M122" t="s">
        <v>32</v>
      </c>
      <c r="N122" s="2">
        <f>Employee_Data[[#This Row],[Basic Salary]]*10%</f>
        <v>666.45833333333337</v>
      </c>
      <c r="O122" s="4">
        <f>Employee_Data[[#This Row],[Basic Salary]]*7.5%</f>
        <v>499.84374999999994</v>
      </c>
      <c r="P122" s="2">
        <f>Employee_Data[[#This Row],[Basic Salary]]*3%</f>
        <v>199.93749999999997</v>
      </c>
      <c r="Q122" s="2">
        <f>SUM(Employee_Data[[#This Row],[Basic Salary]],Employee_Data[[#This Row],[HRA]],Employee_Data[[#This Row],[MA]],Employee_Data[[#This Row],[TA]])</f>
        <v>8030.8229166666661</v>
      </c>
      <c r="R122" s="4">
        <f>Employee_Data[[#This Row],[Basic Salary]]*12.5%</f>
        <v>833.07291666666663</v>
      </c>
      <c r="S122" s="2">
        <f>Employee_Data[[#This Row],[Annual Salary]]/12</f>
        <v>6664.583333333333</v>
      </c>
    </row>
    <row r="123" spans="1:19" x14ac:dyDescent="0.3">
      <c r="A123" t="s">
        <v>319</v>
      </c>
      <c r="B123" t="s">
        <v>320</v>
      </c>
      <c r="C123" t="s">
        <v>47</v>
      </c>
      <c r="D123" t="s">
        <v>126</v>
      </c>
      <c r="E123" t="s">
        <v>56</v>
      </c>
      <c r="F123" t="s">
        <v>23</v>
      </c>
      <c r="G123" t="s">
        <v>43</v>
      </c>
      <c r="H123">
        <v>36</v>
      </c>
      <c r="I123" s="1">
        <v>40748</v>
      </c>
      <c r="J123" s="2">
        <v>196554</v>
      </c>
      <c r="K123" s="3">
        <v>0.2</v>
      </c>
      <c r="L123" t="s">
        <v>137</v>
      </c>
      <c r="M123" t="s">
        <v>138</v>
      </c>
      <c r="N123" s="2">
        <f>Employee_Data[[#This Row],[Basic Salary]]*10%</f>
        <v>1637.95</v>
      </c>
      <c r="O123" s="4">
        <f>Employee_Data[[#This Row],[Basic Salary]]*7.5%</f>
        <v>1228.4624999999999</v>
      </c>
      <c r="P123" s="2">
        <f>Employee_Data[[#This Row],[Basic Salary]]*3%</f>
        <v>491.38499999999999</v>
      </c>
      <c r="Q123" s="2">
        <f>SUM(Employee_Data[[#This Row],[Basic Salary]],Employee_Data[[#This Row],[HRA]],Employee_Data[[#This Row],[MA]],Employee_Data[[#This Row],[TA]])</f>
        <v>19737.297500000001</v>
      </c>
      <c r="R123" s="4">
        <f>Employee_Data[[#This Row],[Basic Salary]]*12.5%</f>
        <v>2047.4375</v>
      </c>
      <c r="S123" s="2">
        <f>Employee_Data[[#This Row],[Annual Salary]]/12</f>
        <v>16379.5</v>
      </c>
    </row>
    <row r="124" spans="1:19" x14ac:dyDescent="0.3">
      <c r="A124" t="s">
        <v>321</v>
      </c>
      <c r="B124" t="s">
        <v>322</v>
      </c>
      <c r="C124" t="s">
        <v>89</v>
      </c>
      <c r="D124" t="s">
        <v>4</v>
      </c>
      <c r="E124" t="s">
        <v>31</v>
      </c>
      <c r="F124" t="s">
        <v>23</v>
      </c>
      <c r="G124" t="s">
        <v>84</v>
      </c>
      <c r="H124">
        <v>39</v>
      </c>
      <c r="I124" s="1">
        <v>40406</v>
      </c>
      <c r="J124" s="2">
        <v>239395</v>
      </c>
      <c r="K124" s="3">
        <v>0.33</v>
      </c>
      <c r="L124" t="s">
        <v>25</v>
      </c>
      <c r="M124" t="s">
        <v>44</v>
      </c>
      <c r="N124" s="2">
        <f>Employee_Data[[#This Row],[Basic Salary]]*10%</f>
        <v>1994.9583333333333</v>
      </c>
      <c r="O124" s="4">
        <f>Employee_Data[[#This Row],[Basic Salary]]*7.5%</f>
        <v>1496.2187499999998</v>
      </c>
      <c r="P124" s="2">
        <f>Employee_Data[[#This Row],[Basic Salary]]*3%</f>
        <v>598.48749999999995</v>
      </c>
      <c r="Q124" s="2">
        <f>SUM(Employee_Data[[#This Row],[Basic Salary]],Employee_Data[[#This Row],[HRA]],Employee_Data[[#This Row],[MA]],Employee_Data[[#This Row],[TA]])</f>
        <v>24039.247916666664</v>
      </c>
      <c r="R124" s="4">
        <f>Employee_Data[[#This Row],[Basic Salary]]*12.5%</f>
        <v>2493.6979166666665</v>
      </c>
      <c r="S124" s="2">
        <f>Employee_Data[[#This Row],[Annual Salary]]/12</f>
        <v>19949.583333333332</v>
      </c>
    </row>
    <row r="125" spans="1:19" x14ac:dyDescent="0.3">
      <c r="A125" t="s">
        <v>323</v>
      </c>
      <c r="B125" t="s">
        <v>324</v>
      </c>
      <c r="C125" t="s">
        <v>60</v>
      </c>
      <c r="D125" t="s">
        <v>30</v>
      </c>
      <c r="E125" t="s">
        <v>56</v>
      </c>
      <c r="F125" t="s">
        <v>23</v>
      </c>
      <c r="G125" t="s">
        <v>24</v>
      </c>
      <c r="H125">
        <v>44</v>
      </c>
      <c r="I125" s="1">
        <v>41480</v>
      </c>
      <c r="J125" s="2">
        <v>53703</v>
      </c>
      <c r="K125" s="3">
        <v>0</v>
      </c>
      <c r="L125" t="s">
        <v>37</v>
      </c>
      <c r="M125" t="s">
        <v>111</v>
      </c>
      <c r="N125" s="2">
        <f>Employee_Data[[#This Row],[Basic Salary]]*10%</f>
        <v>447.52500000000003</v>
      </c>
      <c r="O125" s="4">
        <f>Employee_Data[[#This Row],[Basic Salary]]*7.5%</f>
        <v>335.64375000000001</v>
      </c>
      <c r="P125" s="2">
        <f>Employee_Data[[#This Row],[Basic Salary]]*3%</f>
        <v>134.25749999999999</v>
      </c>
      <c r="Q125" s="2">
        <f>SUM(Employee_Data[[#This Row],[Basic Salary]],Employee_Data[[#This Row],[HRA]],Employee_Data[[#This Row],[MA]],Employee_Data[[#This Row],[TA]])</f>
        <v>5392.6762499999995</v>
      </c>
      <c r="R125" s="4">
        <f>Employee_Data[[#This Row],[Basic Salary]]*12.5%</f>
        <v>559.40625</v>
      </c>
      <c r="S125" s="2">
        <f>Employee_Data[[#This Row],[Annual Salary]]/12</f>
        <v>4475.25</v>
      </c>
    </row>
    <row r="126" spans="1:19" x14ac:dyDescent="0.3">
      <c r="A126" t="s">
        <v>325</v>
      </c>
      <c r="B126" t="s">
        <v>326</v>
      </c>
      <c r="C126" t="s">
        <v>69</v>
      </c>
      <c r="D126" t="s">
        <v>4</v>
      </c>
      <c r="E126" t="s">
        <v>22</v>
      </c>
      <c r="F126" t="s">
        <v>23</v>
      </c>
      <c r="G126" t="s">
        <v>24</v>
      </c>
      <c r="H126">
        <v>53</v>
      </c>
      <c r="I126" s="1">
        <v>40616</v>
      </c>
      <c r="J126" s="2">
        <v>123480</v>
      </c>
      <c r="K126" s="3">
        <v>0.08</v>
      </c>
      <c r="L126" t="s">
        <v>37</v>
      </c>
      <c r="M126" t="s">
        <v>111</v>
      </c>
      <c r="N126" s="2">
        <f>Employee_Data[[#This Row],[Basic Salary]]*10%</f>
        <v>1029</v>
      </c>
      <c r="O126" s="4">
        <f>Employee_Data[[#This Row],[Basic Salary]]*7.5%</f>
        <v>771.75</v>
      </c>
      <c r="P126" s="2">
        <f>Employee_Data[[#This Row],[Basic Salary]]*3%</f>
        <v>308.7</v>
      </c>
      <c r="Q126" s="2">
        <f>SUM(Employee_Data[[#This Row],[Basic Salary]],Employee_Data[[#This Row],[HRA]],Employee_Data[[#This Row],[MA]],Employee_Data[[#This Row],[TA]])</f>
        <v>12399.45</v>
      </c>
      <c r="R126" s="4">
        <f>Employee_Data[[#This Row],[Basic Salary]]*12.5%</f>
        <v>1286.25</v>
      </c>
      <c r="S126" s="2">
        <f>Employee_Data[[#This Row],[Annual Salary]]/12</f>
        <v>10290</v>
      </c>
    </row>
    <row r="127" spans="1:19" x14ac:dyDescent="0.3">
      <c r="A127" t="s">
        <v>327</v>
      </c>
      <c r="B127" t="s">
        <v>328</v>
      </c>
      <c r="C127" t="s">
        <v>159</v>
      </c>
      <c r="D127" t="s">
        <v>4</v>
      </c>
      <c r="E127" t="s">
        <v>56</v>
      </c>
      <c r="F127" t="s">
        <v>42</v>
      </c>
      <c r="G127" t="s">
        <v>24</v>
      </c>
      <c r="H127">
        <v>46</v>
      </c>
      <c r="I127" s="1">
        <v>44205</v>
      </c>
      <c r="J127" s="2">
        <v>41197</v>
      </c>
      <c r="K127" s="3">
        <v>0</v>
      </c>
      <c r="L127" t="s">
        <v>37</v>
      </c>
      <c r="M127" t="s">
        <v>111</v>
      </c>
      <c r="N127" s="2">
        <f>Employee_Data[[#This Row],[Basic Salary]]*10%</f>
        <v>343.30833333333339</v>
      </c>
      <c r="O127" s="4">
        <f>Employee_Data[[#This Row],[Basic Salary]]*7.5%</f>
        <v>257.48124999999999</v>
      </c>
      <c r="P127" s="2">
        <f>Employee_Data[[#This Row],[Basic Salary]]*3%</f>
        <v>102.99250000000001</v>
      </c>
      <c r="Q127" s="2">
        <f>SUM(Employee_Data[[#This Row],[Basic Salary]],Employee_Data[[#This Row],[HRA]],Employee_Data[[#This Row],[MA]],Employee_Data[[#This Row],[TA]])</f>
        <v>4136.8654166666665</v>
      </c>
      <c r="R127" s="4">
        <f>Employee_Data[[#This Row],[Basic Salary]]*12.5%</f>
        <v>429.13541666666669</v>
      </c>
      <c r="S127" s="2">
        <f>Employee_Data[[#This Row],[Annual Salary]]/12</f>
        <v>3433.0833333333335</v>
      </c>
    </row>
    <row r="128" spans="1:19" x14ac:dyDescent="0.3">
      <c r="A128" t="s">
        <v>329</v>
      </c>
      <c r="B128" t="s">
        <v>330</v>
      </c>
      <c r="C128" t="s">
        <v>104</v>
      </c>
      <c r="D128" t="s">
        <v>30</v>
      </c>
      <c r="E128" t="s">
        <v>31</v>
      </c>
      <c r="F128" t="s">
        <v>23</v>
      </c>
      <c r="G128" t="s">
        <v>43</v>
      </c>
      <c r="H128">
        <v>30</v>
      </c>
      <c r="I128" s="1">
        <v>43309</v>
      </c>
      <c r="J128" s="2">
        <v>72463</v>
      </c>
      <c r="K128" s="3">
        <v>0</v>
      </c>
      <c r="L128" t="s">
        <v>137</v>
      </c>
      <c r="M128" t="s">
        <v>289</v>
      </c>
      <c r="N128" s="2">
        <f>Employee_Data[[#This Row],[Basic Salary]]*10%</f>
        <v>603.85833333333335</v>
      </c>
      <c r="O128" s="4">
        <f>Employee_Data[[#This Row],[Basic Salary]]*7.5%</f>
        <v>452.89374999999995</v>
      </c>
      <c r="P128" s="2">
        <f>Employee_Data[[#This Row],[Basic Salary]]*3%</f>
        <v>181.15749999999997</v>
      </c>
      <c r="Q128" s="2">
        <f>SUM(Employee_Data[[#This Row],[Basic Salary]],Employee_Data[[#This Row],[HRA]],Employee_Data[[#This Row],[MA]],Employee_Data[[#This Row],[TA]])</f>
        <v>7276.492916666667</v>
      </c>
      <c r="R128" s="4">
        <f>Employee_Data[[#This Row],[Basic Salary]]*12.5%</f>
        <v>754.82291666666663</v>
      </c>
      <c r="S128" s="2">
        <f>Employee_Data[[#This Row],[Annual Salary]]/12</f>
        <v>6038.583333333333</v>
      </c>
    </row>
    <row r="129" spans="1:19" x14ac:dyDescent="0.3">
      <c r="A129" t="s">
        <v>331</v>
      </c>
      <c r="B129" t="s">
        <v>332</v>
      </c>
      <c r="C129" t="s">
        <v>292</v>
      </c>
      <c r="D129" t="s">
        <v>21</v>
      </c>
      <c r="E129" t="s">
        <v>31</v>
      </c>
      <c r="F129" t="s">
        <v>42</v>
      </c>
      <c r="G129" t="s">
        <v>24</v>
      </c>
      <c r="H129">
        <v>28</v>
      </c>
      <c r="I129" s="1">
        <v>43681</v>
      </c>
      <c r="J129" s="2">
        <v>87675</v>
      </c>
      <c r="K129" s="3">
        <v>0</v>
      </c>
      <c r="L129" t="s">
        <v>37</v>
      </c>
      <c r="M129" t="s">
        <v>111</v>
      </c>
      <c r="N129" s="2">
        <f>Employee_Data[[#This Row],[Basic Salary]]*10%</f>
        <v>730.625</v>
      </c>
      <c r="O129" s="4">
        <f>Employee_Data[[#This Row],[Basic Salary]]*7.5%</f>
        <v>547.96875</v>
      </c>
      <c r="P129" s="2">
        <f>Employee_Data[[#This Row],[Basic Salary]]*3%</f>
        <v>219.1875</v>
      </c>
      <c r="Q129" s="2">
        <f>SUM(Employee_Data[[#This Row],[Basic Salary]],Employee_Data[[#This Row],[HRA]],Employee_Data[[#This Row],[MA]],Employee_Data[[#This Row],[TA]])</f>
        <v>8804.03125</v>
      </c>
      <c r="R129" s="4">
        <f>Employee_Data[[#This Row],[Basic Salary]]*12.5%</f>
        <v>913.28125</v>
      </c>
      <c r="S129" s="2">
        <f>Employee_Data[[#This Row],[Annual Salary]]/12</f>
        <v>7306.25</v>
      </c>
    </row>
    <row r="130" spans="1:19" x14ac:dyDescent="0.3">
      <c r="A130" t="s">
        <v>333</v>
      </c>
      <c r="B130" t="s">
        <v>334</v>
      </c>
      <c r="C130" t="s">
        <v>29</v>
      </c>
      <c r="D130" t="s">
        <v>55</v>
      </c>
      <c r="E130" t="s">
        <v>56</v>
      </c>
      <c r="F130" t="s">
        <v>42</v>
      </c>
      <c r="G130" t="s">
        <v>24</v>
      </c>
      <c r="H130">
        <v>35</v>
      </c>
      <c r="I130" s="1">
        <v>44180</v>
      </c>
      <c r="J130" s="2">
        <v>55833</v>
      </c>
      <c r="K130" s="3">
        <v>0</v>
      </c>
      <c r="L130" t="s">
        <v>37</v>
      </c>
      <c r="M130" t="s">
        <v>62</v>
      </c>
      <c r="N130" s="2">
        <f>Employee_Data[[#This Row],[Basic Salary]]*10%</f>
        <v>465.27500000000003</v>
      </c>
      <c r="O130" s="4">
        <f>Employee_Data[[#This Row],[Basic Salary]]*7.5%</f>
        <v>348.95625000000001</v>
      </c>
      <c r="P130" s="2">
        <f>Employee_Data[[#This Row],[Basic Salary]]*3%</f>
        <v>139.58249999999998</v>
      </c>
      <c r="Q130" s="2">
        <f>SUM(Employee_Data[[#This Row],[Basic Salary]],Employee_Data[[#This Row],[HRA]],Employee_Data[[#This Row],[MA]],Employee_Data[[#This Row],[TA]])</f>
        <v>5606.5637499999993</v>
      </c>
      <c r="R130" s="4">
        <f>Employee_Data[[#This Row],[Basic Salary]]*12.5%</f>
        <v>581.59375</v>
      </c>
      <c r="S130" s="2">
        <f>Employee_Data[[#This Row],[Annual Salary]]/12</f>
        <v>4652.75</v>
      </c>
    </row>
    <row r="131" spans="1:19" x14ac:dyDescent="0.3">
      <c r="A131" t="s">
        <v>335</v>
      </c>
      <c r="B131" t="s">
        <v>336</v>
      </c>
      <c r="C131" t="s">
        <v>60</v>
      </c>
      <c r="D131" t="s">
        <v>61</v>
      </c>
      <c r="E131" t="s">
        <v>36</v>
      </c>
      <c r="F131" t="s">
        <v>42</v>
      </c>
      <c r="G131" t="s">
        <v>24</v>
      </c>
      <c r="H131">
        <v>58</v>
      </c>
      <c r="I131" s="1">
        <v>35297</v>
      </c>
      <c r="J131" s="2">
        <v>58208</v>
      </c>
      <c r="K131" s="3">
        <v>0</v>
      </c>
      <c r="L131" t="s">
        <v>37</v>
      </c>
      <c r="M131" t="s">
        <v>62</v>
      </c>
      <c r="N131" s="2">
        <f>Employee_Data[[#This Row],[Basic Salary]]*10%</f>
        <v>485.06666666666672</v>
      </c>
      <c r="O131" s="4">
        <f>Employee_Data[[#This Row],[Basic Salary]]*7.5%</f>
        <v>363.8</v>
      </c>
      <c r="P131" s="2">
        <f>Employee_Data[[#This Row],[Basic Salary]]*3%</f>
        <v>145.52000000000001</v>
      </c>
      <c r="Q131" s="2">
        <f>SUM(Employee_Data[[#This Row],[Basic Salary]],Employee_Data[[#This Row],[HRA]],Employee_Data[[#This Row],[MA]],Employee_Data[[#This Row],[TA]])</f>
        <v>5845.0533333333342</v>
      </c>
      <c r="R131" s="4">
        <f>Employee_Data[[#This Row],[Basic Salary]]*12.5%</f>
        <v>606.33333333333337</v>
      </c>
      <c r="S131" s="2">
        <f>Employee_Data[[#This Row],[Annual Salary]]/12</f>
        <v>4850.666666666667</v>
      </c>
    </row>
    <row r="132" spans="1:19" x14ac:dyDescent="0.3">
      <c r="A132" t="s">
        <v>337</v>
      </c>
      <c r="B132" t="s">
        <v>338</v>
      </c>
      <c r="C132" t="s">
        <v>54</v>
      </c>
      <c r="D132" t="s">
        <v>30</v>
      </c>
      <c r="E132" t="s">
        <v>56</v>
      </c>
      <c r="F132" t="s">
        <v>23</v>
      </c>
      <c r="G132" t="s">
        <v>43</v>
      </c>
      <c r="H132">
        <v>47</v>
      </c>
      <c r="I132" s="1">
        <v>37400</v>
      </c>
      <c r="J132" s="2">
        <v>75633</v>
      </c>
      <c r="K132" s="3">
        <v>0</v>
      </c>
      <c r="L132" t="s">
        <v>25</v>
      </c>
      <c r="M132" t="s">
        <v>32</v>
      </c>
      <c r="N132" s="2">
        <f>Employee_Data[[#This Row],[Basic Salary]]*10%</f>
        <v>630.27500000000009</v>
      </c>
      <c r="O132" s="4">
        <f>Employee_Data[[#This Row],[Basic Salary]]*7.5%</f>
        <v>472.70624999999995</v>
      </c>
      <c r="P132" s="2">
        <f>Employee_Data[[#This Row],[Basic Salary]]*3%</f>
        <v>189.08249999999998</v>
      </c>
      <c r="Q132" s="2">
        <f>SUM(Employee_Data[[#This Row],[Basic Salary]],Employee_Data[[#This Row],[HRA]],Employee_Data[[#This Row],[MA]],Employee_Data[[#This Row],[TA]])</f>
        <v>7594.8137499999993</v>
      </c>
      <c r="R132" s="4">
        <f>Employee_Data[[#This Row],[Basic Salary]]*12.5%</f>
        <v>787.84375</v>
      </c>
      <c r="S132" s="2">
        <f>Employee_Data[[#This Row],[Annual Salary]]/12</f>
        <v>6302.75</v>
      </c>
    </row>
    <row r="133" spans="1:19" x14ac:dyDescent="0.3">
      <c r="A133" t="s">
        <v>339</v>
      </c>
      <c r="B133" t="s">
        <v>340</v>
      </c>
      <c r="C133" t="s">
        <v>54</v>
      </c>
      <c r="D133" t="s">
        <v>80</v>
      </c>
      <c r="E133" t="s">
        <v>56</v>
      </c>
      <c r="F133" t="s">
        <v>23</v>
      </c>
      <c r="G133" t="s">
        <v>24</v>
      </c>
      <c r="H133">
        <v>43</v>
      </c>
      <c r="I133" s="1">
        <v>39110</v>
      </c>
      <c r="J133" s="2">
        <v>79090</v>
      </c>
      <c r="K133" s="3">
        <v>0</v>
      </c>
      <c r="L133" t="s">
        <v>37</v>
      </c>
      <c r="M133" t="s">
        <v>62</v>
      </c>
      <c r="N133" s="2">
        <f>Employee_Data[[#This Row],[Basic Salary]]*10%</f>
        <v>659.08333333333337</v>
      </c>
      <c r="O133" s="4">
        <f>Employee_Data[[#This Row],[Basic Salary]]*7.5%</f>
        <v>494.31249999999994</v>
      </c>
      <c r="P133" s="2">
        <f>Employee_Data[[#This Row],[Basic Salary]]*3%</f>
        <v>197.72499999999999</v>
      </c>
      <c r="Q133" s="2">
        <f>SUM(Employee_Data[[#This Row],[Basic Salary]],Employee_Data[[#This Row],[HRA]],Employee_Data[[#This Row],[MA]],Employee_Data[[#This Row],[TA]])</f>
        <v>7941.9541666666664</v>
      </c>
      <c r="R133" s="4">
        <f>Employee_Data[[#This Row],[Basic Salary]]*12.5%</f>
        <v>823.85416666666663</v>
      </c>
      <c r="S133" s="2">
        <f>Employee_Data[[#This Row],[Annual Salary]]/12</f>
        <v>6590.833333333333</v>
      </c>
    </row>
    <row r="134" spans="1:19" x14ac:dyDescent="0.3">
      <c r="A134" t="s">
        <v>341</v>
      </c>
      <c r="B134" t="s">
        <v>342</v>
      </c>
      <c r="C134" t="s">
        <v>60</v>
      </c>
      <c r="D134" t="s">
        <v>61</v>
      </c>
      <c r="E134" t="s">
        <v>22</v>
      </c>
      <c r="F134" t="s">
        <v>23</v>
      </c>
      <c r="G134" t="s">
        <v>84</v>
      </c>
      <c r="H134">
        <v>47</v>
      </c>
      <c r="I134" s="1">
        <v>42212</v>
      </c>
      <c r="J134" s="2">
        <v>66138</v>
      </c>
      <c r="K134" s="3">
        <v>0</v>
      </c>
      <c r="L134" t="s">
        <v>25</v>
      </c>
      <c r="M134" t="s">
        <v>51</v>
      </c>
      <c r="N134" s="2">
        <f>Employee_Data[[#This Row],[Basic Salary]]*10%</f>
        <v>551.15</v>
      </c>
      <c r="O134" s="4">
        <f>Employee_Data[[#This Row],[Basic Salary]]*7.5%</f>
        <v>413.36250000000001</v>
      </c>
      <c r="P134" s="2">
        <f>Employee_Data[[#This Row],[Basic Salary]]*3%</f>
        <v>165.345</v>
      </c>
      <c r="Q134" s="2">
        <f>SUM(Employee_Data[[#This Row],[Basic Salary]],Employee_Data[[#This Row],[HRA]],Employee_Data[[#This Row],[MA]],Employee_Data[[#This Row],[TA]])</f>
        <v>6641.3575000000001</v>
      </c>
      <c r="R134" s="4">
        <f>Employee_Data[[#This Row],[Basic Salary]]*12.5%</f>
        <v>688.9375</v>
      </c>
      <c r="S134" s="2">
        <f>Employee_Data[[#This Row],[Annual Salary]]/12</f>
        <v>5511.5</v>
      </c>
    </row>
    <row r="135" spans="1:19" x14ac:dyDescent="0.3">
      <c r="A135" t="s">
        <v>343</v>
      </c>
      <c r="B135" t="s">
        <v>344</v>
      </c>
      <c r="C135" t="s">
        <v>164</v>
      </c>
      <c r="D135" t="s">
        <v>4</v>
      </c>
      <c r="E135" t="s">
        <v>36</v>
      </c>
      <c r="F135" t="s">
        <v>42</v>
      </c>
      <c r="G135" t="s">
        <v>43</v>
      </c>
      <c r="H135">
        <v>57</v>
      </c>
      <c r="I135" s="1">
        <v>41514</v>
      </c>
      <c r="J135" s="2">
        <v>80728</v>
      </c>
      <c r="K135" s="3">
        <v>0</v>
      </c>
      <c r="L135" t="s">
        <v>137</v>
      </c>
      <c r="M135" t="s">
        <v>138</v>
      </c>
      <c r="N135" s="2">
        <f>Employee_Data[[#This Row],[Basic Salary]]*10%</f>
        <v>672.73333333333335</v>
      </c>
      <c r="O135" s="4">
        <f>Employee_Data[[#This Row],[Basic Salary]]*7.5%</f>
        <v>504.54999999999995</v>
      </c>
      <c r="P135" s="2">
        <f>Employee_Data[[#This Row],[Basic Salary]]*3%</f>
        <v>201.82</v>
      </c>
      <c r="Q135" s="2">
        <f>SUM(Employee_Data[[#This Row],[Basic Salary]],Employee_Data[[#This Row],[HRA]],Employee_Data[[#This Row],[MA]],Employee_Data[[#This Row],[TA]])</f>
        <v>8106.4366666666665</v>
      </c>
      <c r="R135" s="4">
        <f>Employee_Data[[#This Row],[Basic Salary]]*12.5%</f>
        <v>840.91666666666663</v>
      </c>
      <c r="S135" s="2">
        <f>Employee_Data[[#This Row],[Annual Salary]]/12</f>
        <v>6727.333333333333</v>
      </c>
    </row>
    <row r="136" spans="1:19" x14ac:dyDescent="0.3">
      <c r="A136" t="s">
        <v>345</v>
      </c>
      <c r="B136" t="s">
        <v>346</v>
      </c>
      <c r="C136" t="s">
        <v>73</v>
      </c>
      <c r="D136" t="s">
        <v>4</v>
      </c>
      <c r="E136" t="s">
        <v>31</v>
      </c>
      <c r="F136" t="s">
        <v>23</v>
      </c>
      <c r="G136" t="s">
        <v>84</v>
      </c>
      <c r="H136">
        <v>47</v>
      </c>
      <c r="I136" s="1">
        <v>38384</v>
      </c>
      <c r="J136" s="2">
        <v>46202</v>
      </c>
      <c r="K136" s="3">
        <v>0</v>
      </c>
      <c r="L136" t="s">
        <v>25</v>
      </c>
      <c r="M136" t="s">
        <v>51</v>
      </c>
      <c r="N136" s="2">
        <f>Employee_Data[[#This Row],[Basic Salary]]*10%</f>
        <v>385.01666666666665</v>
      </c>
      <c r="O136" s="4">
        <f>Employee_Data[[#This Row],[Basic Salary]]*7.5%</f>
        <v>288.76249999999999</v>
      </c>
      <c r="P136" s="2">
        <f>Employee_Data[[#This Row],[Basic Salary]]*3%</f>
        <v>115.505</v>
      </c>
      <c r="Q136" s="2">
        <f>SUM(Employee_Data[[#This Row],[Basic Salary]],Employee_Data[[#This Row],[HRA]],Employee_Data[[#This Row],[MA]],Employee_Data[[#This Row],[TA]])</f>
        <v>4639.4508333333333</v>
      </c>
      <c r="R136" s="4">
        <f>Employee_Data[[#This Row],[Basic Salary]]*12.5%</f>
        <v>481.27083333333331</v>
      </c>
      <c r="S136" s="2">
        <f>Employee_Data[[#This Row],[Annual Salary]]/12</f>
        <v>3850.1666666666665</v>
      </c>
    </row>
    <row r="137" spans="1:19" x14ac:dyDescent="0.3">
      <c r="A137" t="s">
        <v>347</v>
      </c>
      <c r="B137" t="s">
        <v>348</v>
      </c>
      <c r="C137" t="s">
        <v>69</v>
      </c>
      <c r="D137" t="s">
        <v>30</v>
      </c>
      <c r="E137" t="s">
        <v>36</v>
      </c>
      <c r="F137" t="s">
        <v>42</v>
      </c>
      <c r="G137" t="s">
        <v>24</v>
      </c>
      <c r="H137">
        <v>50</v>
      </c>
      <c r="I137" s="1">
        <v>39507</v>
      </c>
      <c r="J137" s="2">
        <v>123096</v>
      </c>
      <c r="K137" s="3">
        <v>0.1</v>
      </c>
      <c r="L137" t="s">
        <v>37</v>
      </c>
      <c r="M137" t="s">
        <v>38</v>
      </c>
      <c r="N137" s="2">
        <f>Employee_Data[[#This Row],[Basic Salary]]*10%</f>
        <v>1025.8</v>
      </c>
      <c r="O137" s="4">
        <f>Employee_Data[[#This Row],[Basic Salary]]*7.5%</f>
        <v>769.35</v>
      </c>
      <c r="P137" s="2">
        <f>Employee_Data[[#This Row],[Basic Salary]]*3%</f>
        <v>307.74</v>
      </c>
      <c r="Q137" s="2">
        <f>SUM(Employee_Data[[#This Row],[Basic Salary]],Employee_Data[[#This Row],[HRA]],Employee_Data[[#This Row],[MA]],Employee_Data[[#This Row],[TA]])</f>
        <v>12360.89</v>
      </c>
      <c r="R137" s="4">
        <f>Employee_Data[[#This Row],[Basic Salary]]*12.5%</f>
        <v>1282.25</v>
      </c>
      <c r="S137" s="2">
        <f>Employee_Data[[#This Row],[Annual Salary]]/12</f>
        <v>10258</v>
      </c>
    </row>
    <row r="138" spans="1:19" x14ac:dyDescent="0.3">
      <c r="A138" t="s">
        <v>349</v>
      </c>
      <c r="B138" t="s">
        <v>350</v>
      </c>
      <c r="C138" t="s">
        <v>29</v>
      </c>
      <c r="D138" t="s">
        <v>80</v>
      </c>
      <c r="E138" t="s">
        <v>36</v>
      </c>
      <c r="F138" t="s">
        <v>42</v>
      </c>
      <c r="G138" t="s">
        <v>24</v>
      </c>
      <c r="H138">
        <v>27</v>
      </c>
      <c r="I138" s="1">
        <v>43908</v>
      </c>
      <c r="J138" s="2">
        <v>45989</v>
      </c>
      <c r="K138" s="3">
        <v>0</v>
      </c>
      <c r="L138" t="s">
        <v>25</v>
      </c>
      <c r="M138" t="s">
        <v>32</v>
      </c>
      <c r="N138" s="2">
        <f>Employee_Data[[#This Row],[Basic Salary]]*10%</f>
        <v>383.24166666666667</v>
      </c>
      <c r="O138" s="4">
        <f>Employee_Data[[#This Row],[Basic Salary]]*7.5%</f>
        <v>287.43124999999998</v>
      </c>
      <c r="P138" s="2">
        <f>Employee_Data[[#This Row],[Basic Salary]]*3%</f>
        <v>114.9725</v>
      </c>
      <c r="Q138" s="2">
        <f>SUM(Employee_Data[[#This Row],[Basic Salary]],Employee_Data[[#This Row],[HRA]],Employee_Data[[#This Row],[MA]],Employee_Data[[#This Row],[TA]])</f>
        <v>4618.0620833333323</v>
      </c>
      <c r="R138" s="4">
        <f>Employee_Data[[#This Row],[Basic Salary]]*12.5%</f>
        <v>479.05208333333331</v>
      </c>
      <c r="S138" s="2">
        <f>Employee_Data[[#This Row],[Annual Salary]]/12</f>
        <v>3832.4166666666665</v>
      </c>
    </row>
    <row r="139" spans="1:19" x14ac:dyDescent="0.3">
      <c r="A139" t="s">
        <v>351</v>
      </c>
      <c r="B139" t="s">
        <v>352</v>
      </c>
      <c r="C139" t="s">
        <v>83</v>
      </c>
      <c r="D139" t="s">
        <v>55</v>
      </c>
      <c r="E139" t="s">
        <v>31</v>
      </c>
      <c r="F139" t="s">
        <v>42</v>
      </c>
      <c r="G139" t="s">
        <v>43</v>
      </c>
      <c r="H139">
        <v>26</v>
      </c>
      <c r="I139" s="1">
        <v>44421</v>
      </c>
      <c r="J139" s="2">
        <v>140756</v>
      </c>
      <c r="K139" s="3">
        <v>0.13</v>
      </c>
      <c r="L139" t="s">
        <v>137</v>
      </c>
      <c r="M139" t="s">
        <v>183</v>
      </c>
      <c r="N139" s="2">
        <f>Employee_Data[[#This Row],[Basic Salary]]*10%</f>
        <v>1172.9666666666667</v>
      </c>
      <c r="O139" s="4">
        <f>Employee_Data[[#This Row],[Basic Salary]]*7.5%</f>
        <v>879.72499999999991</v>
      </c>
      <c r="P139" s="2">
        <f>Employee_Data[[#This Row],[Basic Salary]]*3%</f>
        <v>351.89</v>
      </c>
      <c r="Q139" s="2">
        <f>SUM(Employee_Data[[#This Row],[Basic Salary]],Employee_Data[[#This Row],[HRA]],Employee_Data[[#This Row],[MA]],Employee_Data[[#This Row],[TA]])</f>
        <v>14134.248333333333</v>
      </c>
      <c r="R139" s="4">
        <f>Employee_Data[[#This Row],[Basic Salary]]*12.5%</f>
        <v>1466.2083333333333</v>
      </c>
      <c r="S139" s="2">
        <f>Employee_Data[[#This Row],[Annual Salary]]/12</f>
        <v>11729.666666666666</v>
      </c>
    </row>
    <row r="140" spans="1:19" x14ac:dyDescent="0.3">
      <c r="A140" t="s">
        <v>353</v>
      </c>
      <c r="B140" t="s">
        <v>354</v>
      </c>
      <c r="C140" t="s">
        <v>355</v>
      </c>
      <c r="D140" t="s">
        <v>4</v>
      </c>
      <c r="E140" t="s">
        <v>31</v>
      </c>
      <c r="F140" t="s">
        <v>23</v>
      </c>
      <c r="G140" t="s">
        <v>24</v>
      </c>
      <c r="H140">
        <v>43</v>
      </c>
      <c r="I140" s="1">
        <v>39881</v>
      </c>
      <c r="J140" s="2">
        <v>85261</v>
      </c>
      <c r="K140" s="3">
        <v>0</v>
      </c>
      <c r="L140" t="s">
        <v>37</v>
      </c>
      <c r="M140" t="s">
        <v>62</v>
      </c>
      <c r="N140" s="2">
        <f>Employee_Data[[#This Row],[Basic Salary]]*10%</f>
        <v>710.50833333333333</v>
      </c>
      <c r="O140" s="4">
        <f>Employee_Data[[#This Row],[Basic Salary]]*7.5%</f>
        <v>532.88124999999991</v>
      </c>
      <c r="P140" s="2">
        <f>Employee_Data[[#This Row],[Basic Salary]]*3%</f>
        <v>213.15249999999997</v>
      </c>
      <c r="Q140" s="2">
        <f>SUM(Employee_Data[[#This Row],[Basic Salary]],Employee_Data[[#This Row],[HRA]],Employee_Data[[#This Row],[MA]],Employee_Data[[#This Row],[TA]])</f>
        <v>8561.6254166666658</v>
      </c>
      <c r="R140" s="4">
        <f>Employee_Data[[#This Row],[Basic Salary]]*12.5%</f>
        <v>888.13541666666663</v>
      </c>
      <c r="S140" s="2">
        <f>Employee_Data[[#This Row],[Annual Salary]]/12</f>
        <v>7105.083333333333</v>
      </c>
    </row>
    <row r="141" spans="1:19" x14ac:dyDescent="0.3">
      <c r="A141" t="s">
        <v>356</v>
      </c>
      <c r="B141" t="s">
        <v>357</v>
      </c>
      <c r="C141" t="s">
        <v>89</v>
      </c>
      <c r="D141" t="s">
        <v>55</v>
      </c>
      <c r="E141" t="s">
        <v>31</v>
      </c>
      <c r="F141" t="s">
        <v>42</v>
      </c>
      <c r="G141" t="s">
        <v>43</v>
      </c>
      <c r="H141">
        <v>49</v>
      </c>
      <c r="I141" s="1">
        <v>36063</v>
      </c>
      <c r="J141" s="2">
        <v>198222</v>
      </c>
      <c r="K141" s="3">
        <v>0.34</v>
      </c>
      <c r="L141" t="s">
        <v>137</v>
      </c>
      <c r="M141" t="s">
        <v>183</v>
      </c>
      <c r="N141" s="2">
        <f>Employee_Data[[#This Row],[Basic Salary]]*10%</f>
        <v>1651.8500000000001</v>
      </c>
      <c r="O141" s="4">
        <f>Employee_Data[[#This Row],[Basic Salary]]*7.5%</f>
        <v>1238.8875</v>
      </c>
      <c r="P141" s="2">
        <f>Employee_Data[[#This Row],[Basic Salary]]*3%</f>
        <v>495.55500000000001</v>
      </c>
      <c r="Q141" s="2">
        <f>SUM(Employee_Data[[#This Row],[Basic Salary]],Employee_Data[[#This Row],[HRA]],Employee_Data[[#This Row],[MA]],Employee_Data[[#This Row],[TA]])</f>
        <v>19904.7925</v>
      </c>
      <c r="R141" s="4">
        <f>Employee_Data[[#This Row],[Basic Salary]]*12.5%</f>
        <v>2064.8125</v>
      </c>
      <c r="S141" s="2">
        <f>Employee_Data[[#This Row],[Annual Salary]]/12</f>
        <v>16518.5</v>
      </c>
    </row>
    <row r="142" spans="1:19" x14ac:dyDescent="0.3">
      <c r="A142" t="s">
        <v>358</v>
      </c>
      <c r="B142" t="s">
        <v>359</v>
      </c>
      <c r="C142" t="s">
        <v>83</v>
      </c>
      <c r="D142" t="s">
        <v>30</v>
      </c>
      <c r="E142" t="s">
        <v>36</v>
      </c>
      <c r="F142" t="s">
        <v>42</v>
      </c>
      <c r="G142" t="s">
        <v>66</v>
      </c>
      <c r="H142">
        <v>36</v>
      </c>
      <c r="I142" s="1">
        <v>42888</v>
      </c>
      <c r="J142" s="2">
        <v>150825</v>
      </c>
      <c r="K142" s="3">
        <v>0.1</v>
      </c>
      <c r="L142" t="s">
        <v>25</v>
      </c>
      <c r="M142" t="s">
        <v>26</v>
      </c>
      <c r="N142" s="2">
        <f>Employee_Data[[#This Row],[Basic Salary]]*10%</f>
        <v>1256.875</v>
      </c>
      <c r="O142" s="4">
        <f>Employee_Data[[#This Row],[Basic Salary]]*7.5%</f>
        <v>942.65625</v>
      </c>
      <c r="P142" s="2">
        <f>Employee_Data[[#This Row],[Basic Salary]]*3%</f>
        <v>377.0625</v>
      </c>
      <c r="Q142" s="2">
        <f>SUM(Employee_Data[[#This Row],[Basic Salary]],Employee_Data[[#This Row],[HRA]],Employee_Data[[#This Row],[MA]],Employee_Data[[#This Row],[TA]])</f>
        <v>15145.34375</v>
      </c>
      <c r="R142" s="4">
        <f>Employee_Data[[#This Row],[Basic Salary]]*12.5%</f>
        <v>1571.09375</v>
      </c>
      <c r="S142" s="2">
        <f>Employee_Data[[#This Row],[Annual Salary]]/12</f>
        <v>12568.75</v>
      </c>
    </row>
    <row r="143" spans="1:19" x14ac:dyDescent="0.3">
      <c r="A143" t="s">
        <v>360</v>
      </c>
      <c r="B143" t="s">
        <v>361</v>
      </c>
      <c r="C143" t="s">
        <v>29</v>
      </c>
      <c r="D143" t="s">
        <v>55</v>
      </c>
      <c r="E143" t="s">
        <v>31</v>
      </c>
      <c r="F143" t="s">
        <v>42</v>
      </c>
      <c r="G143" t="s">
        <v>43</v>
      </c>
      <c r="H143">
        <v>51</v>
      </c>
      <c r="I143" s="1">
        <v>35003</v>
      </c>
      <c r="J143" s="2">
        <v>59311</v>
      </c>
      <c r="K143" s="3">
        <v>0</v>
      </c>
      <c r="L143" t="s">
        <v>137</v>
      </c>
      <c r="M143" t="s">
        <v>183</v>
      </c>
      <c r="N143" s="2">
        <f>Employee_Data[[#This Row],[Basic Salary]]*10%</f>
        <v>494.25833333333333</v>
      </c>
      <c r="O143" s="4">
        <f>Employee_Data[[#This Row],[Basic Salary]]*7.5%</f>
        <v>370.69374999999997</v>
      </c>
      <c r="P143" s="2">
        <f>Employee_Data[[#This Row],[Basic Salary]]*3%</f>
        <v>148.27749999999997</v>
      </c>
      <c r="Q143" s="2">
        <f>SUM(Employee_Data[[#This Row],[Basic Salary]],Employee_Data[[#This Row],[HRA]],Employee_Data[[#This Row],[MA]],Employee_Data[[#This Row],[TA]])</f>
        <v>5955.8129166666668</v>
      </c>
      <c r="R143" s="4">
        <f>Employee_Data[[#This Row],[Basic Salary]]*12.5%</f>
        <v>617.82291666666663</v>
      </c>
      <c r="S143" s="2">
        <f>Employee_Data[[#This Row],[Annual Salary]]/12</f>
        <v>4942.583333333333</v>
      </c>
    </row>
    <row r="144" spans="1:19" x14ac:dyDescent="0.3">
      <c r="A144" t="s">
        <v>362</v>
      </c>
      <c r="B144" t="s">
        <v>363</v>
      </c>
      <c r="C144" t="s">
        <v>29</v>
      </c>
      <c r="D144" t="s">
        <v>55</v>
      </c>
      <c r="E144" t="s">
        <v>31</v>
      </c>
      <c r="F144" t="s">
        <v>42</v>
      </c>
      <c r="G144" t="s">
        <v>43</v>
      </c>
      <c r="H144">
        <v>46</v>
      </c>
      <c r="I144" s="1">
        <v>37511</v>
      </c>
      <c r="J144" s="2">
        <v>44411</v>
      </c>
      <c r="K144" s="3">
        <v>0</v>
      </c>
      <c r="L144" t="s">
        <v>137</v>
      </c>
      <c r="M144" t="s">
        <v>289</v>
      </c>
      <c r="N144" s="2">
        <f>Employee_Data[[#This Row],[Basic Salary]]*10%</f>
        <v>370.0916666666667</v>
      </c>
      <c r="O144" s="4">
        <f>Employee_Data[[#This Row],[Basic Salary]]*7.5%</f>
        <v>277.56874999999997</v>
      </c>
      <c r="P144" s="2">
        <f>Employee_Data[[#This Row],[Basic Salary]]*3%</f>
        <v>111.02749999999999</v>
      </c>
      <c r="Q144" s="2">
        <f>SUM(Employee_Data[[#This Row],[Basic Salary]],Employee_Data[[#This Row],[HRA]],Employee_Data[[#This Row],[MA]],Employee_Data[[#This Row],[TA]])</f>
        <v>4459.6045833333337</v>
      </c>
      <c r="R144" s="4">
        <f>Employee_Data[[#This Row],[Basic Salary]]*12.5%</f>
        <v>462.61458333333331</v>
      </c>
      <c r="S144" s="2">
        <f>Employee_Data[[#This Row],[Annual Salary]]/12</f>
        <v>3700.9166666666665</v>
      </c>
    </row>
    <row r="145" spans="1:19" x14ac:dyDescent="0.3">
      <c r="A145" t="s">
        <v>364</v>
      </c>
      <c r="B145" t="s">
        <v>365</v>
      </c>
      <c r="C145" t="s">
        <v>60</v>
      </c>
      <c r="D145" t="s">
        <v>61</v>
      </c>
      <c r="E145" t="s">
        <v>22</v>
      </c>
      <c r="F145" t="s">
        <v>23</v>
      </c>
      <c r="G145" t="s">
        <v>43</v>
      </c>
      <c r="H145">
        <v>37</v>
      </c>
      <c r="I145" s="1">
        <v>43783</v>
      </c>
      <c r="J145" s="2">
        <v>69408</v>
      </c>
      <c r="K145" s="3">
        <v>0</v>
      </c>
      <c r="L145" t="s">
        <v>25</v>
      </c>
      <c r="M145" t="s">
        <v>32</v>
      </c>
      <c r="N145" s="2">
        <f>Employee_Data[[#This Row],[Basic Salary]]*10%</f>
        <v>578.4</v>
      </c>
      <c r="O145" s="4">
        <f>Employee_Data[[#This Row],[Basic Salary]]*7.5%</f>
        <v>433.8</v>
      </c>
      <c r="P145" s="2">
        <f>Employee_Data[[#This Row],[Basic Salary]]*3%</f>
        <v>173.51999999999998</v>
      </c>
      <c r="Q145" s="2">
        <f>SUM(Employee_Data[[#This Row],[Basic Salary]],Employee_Data[[#This Row],[HRA]],Employee_Data[[#This Row],[MA]],Employee_Data[[#This Row],[TA]])</f>
        <v>6969.7199999999993</v>
      </c>
      <c r="R145" s="4">
        <f>Employee_Data[[#This Row],[Basic Salary]]*12.5%</f>
        <v>723</v>
      </c>
      <c r="S145" s="2">
        <f>Employee_Data[[#This Row],[Annual Salary]]/12</f>
        <v>5784</v>
      </c>
    </row>
    <row r="146" spans="1:19" x14ac:dyDescent="0.3">
      <c r="A146" t="s">
        <v>366</v>
      </c>
      <c r="B146" t="s">
        <v>367</v>
      </c>
      <c r="C146" t="s">
        <v>54</v>
      </c>
      <c r="D146" t="s">
        <v>61</v>
      </c>
      <c r="E146" t="s">
        <v>22</v>
      </c>
      <c r="F146" t="s">
        <v>23</v>
      </c>
      <c r="G146" t="s">
        <v>43</v>
      </c>
      <c r="H146">
        <v>43</v>
      </c>
      <c r="I146" s="1">
        <v>43268</v>
      </c>
      <c r="J146" s="2">
        <v>96759</v>
      </c>
      <c r="K146" s="3">
        <v>0</v>
      </c>
      <c r="L146" t="s">
        <v>137</v>
      </c>
      <c r="M146" t="s">
        <v>289</v>
      </c>
      <c r="N146" s="2">
        <f>Employee_Data[[#This Row],[Basic Salary]]*10%</f>
        <v>806.32500000000005</v>
      </c>
      <c r="O146" s="4">
        <f>Employee_Data[[#This Row],[Basic Salary]]*7.5%</f>
        <v>604.74374999999998</v>
      </c>
      <c r="P146" s="2">
        <f>Employee_Data[[#This Row],[Basic Salary]]*3%</f>
        <v>241.89749999999998</v>
      </c>
      <c r="Q146" s="2">
        <f>SUM(Employee_Data[[#This Row],[Basic Salary]],Employee_Data[[#This Row],[HRA]],Employee_Data[[#This Row],[MA]],Employee_Data[[#This Row],[TA]])</f>
        <v>9716.2162499999995</v>
      </c>
      <c r="R146" s="4">
        <f>Employee_Data[[#This Row],[Basic Salary]]*12.5%</f>
        <v>1007.90625</v>
      </c>
      <c r="S146" s="2">
        <f>Employee_Data[[#This Row],[Annual Salary]]/12</f>
        <v>8063.25</v>
      </c>
    </row>
    <row r="147" spans="1:19" x14ac:dyDescent="0.3">
      <c r="A147" t="s">
        <v>368</v>
      </c>
      <c r="B147" t="s">
        <v>369</v>
      </c>
      <c r="C147" t="s">
        <v>47</v>
      </c>
      <c r="D147" t="s">
        <v>80</v>
      </c>
      <c r="E147" t="s">
        <v>56</v>
      </c>
      <c r="F147" t="s">
        <v>42</v>
      </c>
      <c r="G147" t="s">
        <v>84</v>
      </c>
      <c r="H147">
        <v>53</v>
      </c>
      <c r="I147" s="1">
        <v>41496</v>
      </c>
      <c r="J147" s="2">
        <v>163480</v>
      </c>
      <c r="K147" s="3">
        <v>0.15</v>
      </c>
      <c r="L147" t="s">
        <v>25</v>
      </c>
      <c r="M147" t="s">
        <v>26</v>
      </c>
      <c r="N147" s="2">
        <f>Employee_Data[[#This Row],[Basic Salary]]*10%</f>
        <v>1362.3333333333335</v>
      </c>
      <c r="O147" s="4">
        <f>Employee_Data[[#This Row],[Basic Salary]]*7.5%</f>
        <v>1021.75</v>
      </c>
      <c r="P147" s="2">
        <f>Employee_Data[[#This Row],[Basic Salary]]*3%</f>
        <v>408.7</v>
      </c>
      <c r="Q147" s="2">
        <f>SUM(Employee_Data[[#This Row],[Basic Salary]],Employee_Data[[#This Row],[HRA]],Employee_Data[[#This Row],[MA]],Employee_Data[[#This Row],[TA]])</f>
        <v>16416.116666666669</v>
      </c>
      <c r="R147" s="4">
        <f>Employee_Data[[#This Row],[Basic Salary]]*12.5%</f>
        <v>1702.9166666666667</v>
      </c>
      <c r="S147" s="2">
        <f>Employee_Data[[#This Row],[Annual Salary]]/12</f>
        <v>13623.333333333334</v>
      </c>
    </row>
    <row r="148" spans="1:19" x14ac:dyDescent="0.3">
      <c r="A148" t="s">
        <v>370</v>
      </c>
      <c r="B148" t="s">
        <v>371</v>
      </c>
      <c r="C148" t="s">
        <v>65</v>
      </c>
      <c r="D148" t="s">
        <v>4</v>
      </c>
      <c r="E148" t="s">
        <v>36</v>
      </c>
      <c r="F148" t="s">
        <v>42</v>
      </c>
      <c r="G148" t="s">
        <v>24</v>
      </c>
      <c r="H148">
        <v>58</v>
      </c>
      <c r="I148" s="1">
        <v>41744</v>
      </c>
      <c r="J148" s="2">
        <v>91132</v>
      </c>
      <c r="K148" s="3">
        <v>0</v>
      </c>
      <c r="L148" t="s">
        <v>37</v>
      </c>
      <c r="M148" t="s">
        <v>111</v>
      </c>
      <c r="N148" s="2">
        <f>Employee_Data[[#This Row],[Basic Salary]]*10%</f>
        <v>759.43333333333339</v>
      </c>
      <c r="O148" s="4">
        <f>Employee_Data[[#This Row],[Basic Salary]]*7.5%</f>
        <v>569.57499999999993</v>
      </c>
      <c r="P148" s="2">
        <f>Employee_Data[[#This Row],[Basic Salary]]*3%</f>
        <v>227.82999999999998</v>
      </c>
      <c r="Q148" s="2">
        <f>SUM(Employee_Data[[#This Row],[Basic Salary]],Employee_Data[[#This Row],[HRA]],Employee_Data[[#This Row],[MA]],Employee_Data[[#This Row],[TA]])</f>
        <v>9151.1716666666671</v>
      </c>
      <c r="R148" s="4">
        <f>Employee_Data[[#This Row],[Basic Salary]]*12.5%</f>
        <v>949.29166666666663</v>
      </c>
      <c r="S148" s="2">
        <f>Employee_Data[[#This Row],[Annual Salary]]/12</f>
        <v>7594.333333333333</v>
      </c>
    </row>
    <row r="149" spans="1:19" x14ac:dyDescent="0.3">
      <c r="A149" t="s">
        <v>372</v>
      </c>
      <c r="B149" t="s">
        <v>373</v>
      </c>
      <c r="C149" t="s">
        <v>69</v>
      </c>
      <c r="D149" t="s">
        <v>80</v>
      </c>
      <c r="E149" t="s">
        <v>31</v>
      </c>
      <c r="F149" t="s">
        <v>23</v>
      </c>
      <c r="G149" t="s">
        <v>66</v>
      </c>
      <c r="H149">
        <v>57</v>
      </c>
      <c r="I149" s="1">
        <v>35256</v>
      </c>
      <c r="J149" s="2">
        <v>122825</v>
      </c>
      <c r="K149" s="3">
        <v>0.08</v>
      </c>
      <c r="L149" t="s">
        <v>25</v>
      </c>
      <c r="M149" t="s">
        <v>70</v>
      </c>
      <c r="N149" s="2">
        <f>Employee_Data[[#This Row],[Basic Salary]]*10%</f>
        <v>1023.5416666666666</v>
      </c>
      <c r="O149" s="4">
        <f>Employee_Data[[#This Row],[Basic Salary]]*7.5%</f>
        <v>767.65624999999989</v>
      </c>
      <c r="P149" s="2">
        <f>Employee_Data[[#This Row],[Basic Salary]]*3%</f>
        <v>307.06249999999994</v>
      </c>
      <c r="Q149" s="2">
        <f>SUM(Employee_Data[[#This Row],[Basic Salary]],Employee_Data[[#This Row],[HRA]],Employee_Data[[#This Row],[MA]],Employee_Data[[#This Row],[TA]])</f>
        <v>12333.677083333332</v>
      </c>
      <c r="R149" s="4">
        <f>Employee_Data[[#This Row],[Basic Salary]]*12.5%</f>
        <v>1279.4270833333333</v>
      </c>
      <c r="S149" s="2">
        <f>Employee_Data[[#This Row],[Annual Salary]]/12</f>
        <v>10235.416666666666</v>
      </c>
    </row>
    <row r="150" spans="1:19" x14ac:dyDescent="0.3">
      <c r="A150" t="s">
        <v>374</v>
      </c>
      <c r="B150" t="s">
        <v>375</v>
      </c>
      <c r="C150" t="s">
        <v>94</v>
      </c>
      <c r="D150" t="s">
        <v>4</v>
      </c>
      <c r="E150" t="s">
        <v>22</v>
      </c>
      <c r="F150" t="s">
        <v>42</v>
      </c>
      <c r="G150" t="s">
        <v>43</v>
      </c>
      <c r="H150">
        <v>31</v>
      </c>
      <c r="I150" s="1">
        <v>42301</v>
      </c>
      <c r="J150" s="2">
        <v>73612</v>
      </c>
      <c r="K150" s="3">
        <v>0</v>
      </c>
      <c r="L150" t="s">
        <v>137</v>
      </c>
      <c r="M150" t="s">
        <v>138</v>
      </c>
      <c r="N150" s="2">
        <f>Employee_Data[[#This Row],[Basic Salary]]*10%</f>
        <v>613.43333333333328</v>
      </c>
      <c r="O150" s="4">
        <f>Employee_Data[[#This Row],[Basic Salary]]*7.5%</f>
        <v>460.07499999999999</v>
      </c>
      <c r="P150" s="2">
        <f>Employee_Data[[#This Row],[Basic Salary]]*3%</f>
        <v>184.02999999999997</v>
      </c>
      <c r="Q150" s="2">
        <f>SUM(Employee_Data[[#This Row],[Basic Salary]],Employee_Data[[#This Row],[HRA]],Employee_Data[[#This Row],[MA]],Employee_Data[[#This Row],[TA]])</f>
        <v>7391.871666666666</v>
      </c>
      <c r="R150" s="4">
        <f>Employee_Data[[#This Row],[Basic Salary]]*12.5%</f>
        <v>766.79166666666663</v>
      </c>
      <c r="S150" s="2">
        <f>Employee_Data[[#This Row],[Annual Salary]]/12</f>
        <v>6134.333333333333</v>
      </c>
    </row>
    <row r="151" spans="1:19" x14ac:dyDescent="0.3">
      <c r="A151" t="s">
        <v>376</v>
      </c>
      <c r="B151" t="s">
        <v>377</v>
      </c>
      <c r="C151" t="s">
        <v>104</v>
      </c>
      <c r="D151" t="s">
        <v>30</v>
      </c>
      <c r="E151" t="s">
        <v>22</v>
      </c>
      <c r="F151" t="s">
        <v>23</v>
      </c>
      <c r="G151" t="s">
        <v>24</v>
      </c>
      <c r="H151">
        <v>40</v>
      </c>
      <c r="I151" s="1">
        <v>39255</v>
      </c>
      <c r="J151" s="2">
        <v>70561</v>
      </c>
      <c r="K151" s="3">
        <v>0</v>
      </c>
      <c r="L151" t="s">
        <v>37</v>
      </c>
      <c r="M151" t="s">
        <v>57</v>
      </c>
      <c r="N151" s="2">
        <f>Employee_Data[[#This Row],[Basic Salary]]*10%</f>
        <v>588.00833333333333</v>
      </c>
      <c r="O151" s="4">
        <f>Employee_Data[[#This Row],[Basic Salary]]*7.5%</f>
        <v>441.00624999999997</v>
      </c>
      <c r="P151" s="2">
        <f>Employee_Data[[#This Row],[Basic Salary]]*3%</f>
        <v>176.40249999999997</v>
      </c>
      <c r="Q151" s="2">
        <f>SUM(Employee_Data[[#This Row],[Basic Salary]],Employee_Data[[#This Row],[HRA]],Employee_Data[[#This Row],[MA]],Employee_Data[[#This Row],[TA]])</f>
        <v>7085.5004166666668</v>
      </c>
      <c r="R151" s="4">
        <f>Employee_Data[[#This Row],[Basic Salary]]*12.5%</f>
        <v>735.01041666666663</v>
      </c>
      <c r="S151" s="2">
        <f>Employee_Data[[#This Row],[Annual Salary]]/12</f>
        <v>5880.083333333333</v>
      </c>
    </row>
    <row r="152" spans="1:19" x14ac:dyDescent="0.3">
      <c r="A152" t="s">
        <v>378</v>
      </c>
      <c r="B152" t="s">
        <v>379</v>
      </c>
      <c r="C152" t="s">
        <v>380</v>
      </c>
      <c r="D152" t="s">
        <v>4</v>
      </c>
      <c r="E152" t="s">
        <v>36</v>
      </c>
      <c r="F152" t="s">
        <v>23</v>
      </c>
      <c r="G152" t="s">
        <v>84</v>
      </c>
      <c r="H152">
        <v>47</v>
      </c>
      <c r="I152" s="1">
        <v>39593</v>
      </c>
      <c r="J152" s="2">
        <v>60331</v>
      </c>
      <c r="K152" s="3">
        <v>0</v>
      </c>
      <c r="L152" t="s">
        <v>25</v>
      </c>
      <c r="M152" t="s">
        <v>70</v>
      </c>
      <c r="N152" s="2">
        <f>Employee_Data[[#This Row],[Basic Salary]]*10%</f>
        <v>502.75833333333333</v>
      </c>
      <c r="O152" s="4">
        <f>Employee_Data[[#This Row],[Basic Salary]]*7.5%</f>
        <v>377.06874999999997</v>
      </c>
      <c r="P152" s="2">
        <f>Employee_Data[[#This Row],[Basic Salary]]*3%</f>
        <v>150.82749999999999</v>
      </c>
      <c r="Q152" s="2">
        <f>SUM(Employee_Data[[#This Row],[Basic Salary]],Employee_Data[[#This Row],[HRA]],Employee_Data[[#This Row],[MA]],Employee_Data[[#This Row],[TA]])</f>
        <v>6058.2379166666669</v>
      </c>
      <c r="R152" s="4">
        <f>Employee_Data[[#This Row],[Basic Salary]]*12.5%</f>
        <v>628.44791666666663</v>
      </c>
      <c r="S152" s="2">
        <f>Employee_Data[[#This Row],[Annual Salary]]/12</f>
        <v>5027.583333333333</v>
      </c>
    </row>
    <row r="153" spans="1:19" x14ac:dyDescent="0.3">
      <c r="A153" t="s">
        <v>381</v>
      </c>
      <c r="B153" t="s">
        <v>382</v>
      </c>
      <c r="C153" t="s">
        <v>73</v>
      </c>
      <c r="D153" t="s">
        <v>4</v>
      </c>
      <c r="E153" t="s">
        <v>22</v>
      </c>
      <c r="F153" t="s">
        <v>42</v>
      </c>
      <c r="G153" t="s">
        <v>43</v>
      </c>
      <c r="H153">
        <v>51</v>
      </c>
      <c r="I153" s="1">
        <v>39207</v>
      </c>
      <c r="J153" s="2">
        <v>48772</v>
      </c>
      <c r="K153" s="3">
        <v>0</v>
      </c>
      <c r="L153" t="s">
        <v>137</v>
      </c>
      <c r="M153" t="s">
        <v>138</v>
      </c>
      <c r="N153" s="2">
        <f>Employee_Data[[#This Row],[Basic Salary]]*10%</f>
        <v>406.43333333333339</v>
      </c>
      <c r="O153" s="4">
        <f>Employee_Data[[#This Row],[Basic Salary]]*7.5%</f>
        <v>304.82499999999999</v>
      </c>
      <c r="P153" s="2">
        <f>Employee_Data[[#This Row],[Basic Salary]]*3%</f>
        <v>121.93</v>
      </c>
      <c r="Q153" s="2">
        <f>SUM(Employee_Data[[#This Row],[Basic Salary]],Employee_Data[[#This Row],[HRA]],Employee_Data[[#This Row],[MA]],Employee_Data[[#This Row],[TA]])</f>
        <v>4897.5216666666665</v>
      </c>
      <c r="R153" s="4">
        <f>Employee_Data[[#This Row],[Basic Salary]]*12.5%</f>
        <v>508.04166666666669</v>
      </c>
      <c r="S153" s="2">
        <f>Employee_Data[[#This Row],[Annual Salary]]/12</f>
        <v>4064.3333333333335</v>
      </c>
    </row>
    <row r="154" spans="1:19" x14ac:dyDescent="0.3">
      <c r="A154" t="s">
        <v>383</v>
      </c>
      <c r="B154" t="s">
        <v>384</v>
      </c>
      <c r="C154" t="s">
        <v>35</v>
      </c>
      <c r="D154" t="s">
        <v>4</v>
      </c>
      <c r="E154" t="s">
        <v>36</v>
      </c>
      <c r="F154" t="s">
        <v>23</v>
      </c>
      <c r="G154" t="s">
        <v>24</v>
      </c>
      <c r="H154">
        <v>57</v>
      </c>
      <c r="I154" s="1">
        <v>44106</v>
      </c>
      <c r="J154" s="2">
        <v>90599</v>
      </c>
      <c r="K154" s="3">
        <v>0</v>
      </c>
      <c r="L154" t="s">
        <v>37</v>
      </c>
      <c r="M154" t="s">
        <v>57</v>
      </c>
      <c r="N154" s="2">
        <f>Employee_Data[[#This Row],[Basic Salary]]*10%</f>
        <v>754.99166666666679</v>
      </c>
      <c r="O154" s="4">
        <f>Employee_Data[[#This Row],[Basic Salary]]*7.5%</f>
        <v>566.24374999999998</v>
      </c>
      <c r="P154" s="2">
        <f>Employee_Data[[#This Row],[Basic Salary]]*3%</f>
        <v>226.4975</v>
      </c>
      <c r="Q154" s="2">
        <f>SUM(Employee_Data[[#This Row],[Basic Salary]],Employee_Data[[#This Row],[HRA]],Employee_Data[[#This Row],[MA]],Employee_Data[[#This Row],[TA]])</f>
        <v>9097.649583333332</v>
      </c>
      <c r="R154" s="4">
        <f>Employee_Data[[#This Row],[Basic Salary]]*12.5%</f>
        <v>943.73958333333337</v>
      </c>
      <c r="S154" s="2">
        <f>Employee_Data[[#This Row],[Annual Salary]]/12</f>
        <v>7549.916666666667</v>
      </c>
    </row>
    <row r="155" spans="1:19" x14ac:dyDescent="0.3">
      <c r="A155" t="s">
        <v>385</v>
      </c>
      <c r="B155" t="s">
        <v>386</v>
      </c>
      <c r="C155" t="s">
        <v>159</v>
      </c>
      <c r="D155" t="s">
        <v>4</v>
      </c>
      <c r="E155" t="s">
        <v>31</v>
      </c>
      <c r="F155" t="s">
        <v>23</v>
      </c>
      <c r="G155" t="s">
        <v>66</v>
      </c>
      <c r="H155">
        <v>46</v>
      </c>
      <c r="I155" s="1">
        <v>44522</v>
      </c>
      <c r="J155" s="2">
        <v>55643</v>
      </c>
      <c r="K155" s="3">
        <v>0</v>
      </c>
      <c r="L155" t="s">
        <v>25</v>
      </c>
      <c r="M155" t="s">
        <v>26</v>
      </c>
      <c r="N155" s="2">
        <f>Employee_Data[[#This Row],[Basic Salary]]*10%</f>
        <v>463.69166666666672</v>
      </c>
      <c r="O155" s="4">
        <f>Employee_Data[[#This Row],[Basic Salary]]*7.5%</f>
        <v>347.76875000000001</v>
      </c>
      <c r="P155" s="2">
        <f>Employee_Data[[#This Row],[Basic Salary]]*3%</f>
        <v>139.10750000000002</v>
      </c>
      <c r="Q155" s="2">
        <f>SUM(Employee_Data[[#This Row],[Basic Salary]],Employee_Data[[#This Row],[HRA]],Employee_Data[[#This Row],[MA]],Employee_Data[[#This Row],[TA]])</f>
        <v>5587.4845833333338</v>
      </c>
      <c r="R155" s="4">
        <f>Employee_Data[[#This Row],[Basic Salary]]*12.5%</f>
        <v>579.61458333333337</v>
      </c>
      <c r="S155" s="2">
        <f>Employee_Data[[#This Row],[Annual Salary]]/12</f>
        <v>4636.916666666667</v>
      </c>
    </row>
    <row r="156" spans="1:19" x14ac:dyDescent="0.3">
      <c r="A156" t="s">
        <v>387</v>
      </c>
      <c r="B156" t="s">
        <v>388</v>
      </c>
      <c r="C156" t="s">
        <v>292</v>
      </c>
      <c r="D156" t="s">
        <v>21</v>
      </c>
      <c r="E156" t="s">
        <v>31</v>
      </c>
      <c r="F156" t="s">
        <v>23</v>
      </c>
      <c r="G156" t="s">
        <v>43</v>
      </c>
      <c r="H156">
        <v>40</v>
      </c>
      <c r="I156" s="1">
        <v>44807</v>
      </c>
      <c r="J156" s="2">
        <v>97938</v>
      </c>
      <c r="K156" s="3">
        <v>0</v>
      </c>
      <c r="L156" t="s">
        <v>25</v>
      </c>
      <c r="M156" t="s">
        <v>32</v>
      </c>
      <c r="N156" s="2">
        <f>Employee_Data[[#This Row],[Basic Salary]]*10%</f>
        <v>816.15000000000009</v>
      </c>
      <c r="O156" s="4">
        <f>Employee_Data[[#This Row],[Basic Salary]]*7.5%</f>
        <v>612.11249999999995</v>
      </c>
      <c r="P156" s="2">
        <f>Employee_Data[[#This Row],[Basic Salary]]*3%</f>
        <v>244.845</v>
      </c>
      <c r="Q156" s="2">
        <f>SUM(Employee_Data[[#This Row],[Basic Salary]],Employee_Data[[#This Row],[HRA]],Employee_Data[[#This Row],[MA]],Employee_Data[[#This Row],[TA]])</f>
        <v>9834.6074999999983</v>
      </c>
      <c r="R156" s="4">
        <f>Employee_Data[[#This Row],[Basic Salary]]*12.5%</f>
        <v>1020.1875</v>
      </c>
      <c r="S156" s="2">
        <f>Employee_Data[[#This Row],[Annual Salary]]/12</f>
        <v>8161.5</v>
      </c>
    </row>
    <row r="157" spans="1:19" x14ac:dyDescent="0.3">
      <c r="A157" t="s">
        <v>389</v>
      </c>
      <c r="B157" t="s">
        <v>390</v>
      </c>
      <c r="C157" t="s">
        <v>29</v>
      </c>
      <c r="D157" t="s">
        <v>55</v>
      </c>
      <c r="E157" t="s">
        <v>36</v>
      </c>
      <c r="F157" t="s">
        <v>23</v>
      </c>
      <c r="G157" t="s">
        <v>24</v>
      </c>
      <c r="H157">
        <v>43</v>
      </c>
      <c r="I157" s="1">
        <v>38004</v>
      </c>
      <c r="J157" s="2">
        <v>49627</v>
      </c>
      <c r="K157" s="3">
        <v>0</v>
      </c>
      <c r="L157" t="s">
        <v>37</v>
      </c>
      <c r="M157" t="s">
        <v>111</v>
      </c>
      <c r="N157" s="2">
        <f>Employee_Data[[#This Row],[Basic Salary]]*10%</f>
        <v>413.55833333333334</v>
      </c>
      <c r="O157" s="4">
        <f>Employee_Data[[#This Row],[Basic Salary]]*7.5%</f>
        <v>310.16874999999999</v>
      </c>
      <c r="P157" s="2">
        <f>Employee_Data[[#This Row],[Basic Salary]]*3%</f>
        <v>124.06749999999998</v>
      </c>
      <c r="Q157" s="2">
        <f>SUM(Employee_Data[[#This Row],[Basic Salary]],Employee_Data[[#This Row],[HRA]],Employee_Data[[#This Row],[MA]],Employee_Data[[#This Row],[TA]])</f>
        <v>4983.3779166666664</v>
      </c>
      <c r="R157" s="4">
        <f>Employee_Data[[#This Row],[Basic Salary]]*12.5%</f>
        <v>516.94791666666663</v>
      </c>
      <c r="S157" s="2">
        <f>Employee_Data[[#This Row],[Annual Salary]]/12</f>
        <v>4135.583333333333</v>
      </c>
    </row>
    <row r="158" spans="1:19" x14ac:dyDescent="0.3">
      <c r="A158" t="s">
        <v>391</v>
      </c>
      <c r="B158" t="s">
        <v>392</v>
      </c>
      <c r="C158" t="s">
        <v>159</v>
      </c>
      <c r="D158" t="s">
        <v>4</v>
      </c>
      <c r="E158" t="s">
        <v>36</v>
      </c>
      <c r="F158" t="s">
        <v>23</v>
      </c>
      <c r="G158" t="s">
        <v>66</v>
      </c>
      <c r="H158">
        <v>54</v>
      </c>
      <c r="I158" s="1">
        <v>44303</v>
      </c>
      <c r="J158" s="2">
        <v>58137</v>
      </c>
      <c r="K158" s="3">
        <v>0</v>
      </c>
      <c r="L158" t="s">
        <v>25</v>
      </c>
      <c r="M158" t="s">
        <v>26</v>
      </c>
      <c r="N158" s="2">
        <f>Employee_Data[[#This Row],[Basic Salary]]*10%</f>
        <v>484.47500000000002</v>
      </c>
      <c r="O158" s="4">
        <f>Employee_Data[[#This Row],[Basic Salary]]*7.5%</f>
        <v>363.35624999999999</v>
      </c>
      <c r="P158" s="2">
        <f>Employee_Data[[#This Row],[Basic Salary]]*3%</f>
        <v>145.3425</v>
      </c>
      <c r="Q158" s="2">
        <f>SUM(Employee_Data[[#This Row],[Basic Salary]],Employee_Data[[#This Row],[HRA]],Employee_Data[[#This Row],[MA]],Employee_Data[[#This Row],[TA]])</f>
        <v>5837.9237499999999</v>
      </c>
      <c r="R158" s="4">
        <f>Employee_Data[[#This Row],[Basic Salary]]*12.5%</f>
        <v>605.59375</v>
      </c>
      <c r="S158" s="2">
        <f>Employee_Data[[#This Row],[Annual Salary]]/12</f>
        <v>4844.75</v>
      </c>
    </row>
    <row r="159" spans="1:19" x14ac:dyDescent="0.3">
      <c r="A159" t="s">
        <v>393</v>
      </c>
      <c r="B159" t="s">
        <v>394</v>
      </c>
      <c r="C159" t="s">
        <v>83</v>
      </c>
      <c r="D159" t="s">
        <v>30</v>
      </c>
      <c r="E159" t="s">
        <v>36</v>
      </c>
      <c r="F159" t="s">
        <v>42</v>
      </c>
      <c r="G159" t="s">
        <v>84</v>
      </c>
      <c r="H159">
        <v>27</v>
      </c>
      <c r="I159" s="1">
        <v>44198</v>
      </c>
      <c r="J159" s="2">
        <v>120586</v>
      </c>
      <c r="K159" s="3">
        <v>0.15</v>
      </c>
      <c r="L159" t="s">
        <v>25</v>
      </c>
      <c r="M159" t="s">
        <v>44</v>
      </c>
      <c r="N159" s="2">
        <f>Employee_Data[[#This Row],[Basic Salary]]*10%</f>
        <v>1004.8833333333334</v>
      </c>
      <c r="O159" s="4">
        <f>Employee_Data[[#This Row],[Basic Salary]]*7.5%</f>
        <v>753.66250000000002</v>
      </c>
      <c r="P159" s="2">
        <f>Employee_Data[[#This Row],[Basic Salary]]*3%</f>
        <v>301.46500000000003</v>
      </c>
      <c r="Q159" s="2">
        <f>SUM(Employee_Data[[#This Row],[Basic Salary]],Employee_Data[[#This Row],[HRA]],Employee_Data[[#This Row],[MA]],Employee_Data[[#This Row],[TA]])</f>
        <v>12108.844166666668</v>
      </c>
      <c r="R159" s="4">
        <f>Employee_Data[[#This Row],[Basic Salary]]*12.5%</f>
        <v>1256.1041666666667</v>
      </c>
      <c r="S159" s="2">
        <f>Employee_Data[[#This Row],[Annual Salary]]/12</f>
        <v>10048.833333333334</v>
      </c>
    </row>
    <row r="160" spans="1:19" x14ac:dyDescent="0.3">
      <c r="A160" t="s">
        <v>395</v>
      </c>
      <c r="B160" t="s">
        <v>396</v>
      </c>
      <c r="C160" t="s">
        <v>60</v>
      </c>
      <c r="D160" t="s">
        <v>55</v>
      </c>
      <c r="E160" t="s">
        <v>22</v>
      </c>
      <c r="F160" t="s">
        <v>42</v>
      </c>
      <c r="G160" t="s">
        <v>24</v>
      </c>
      <c r="H160">
        <v>56</v>
      </c>
      <c r="I160" s="1">
        <v>36387</v>
      </c>
      <c r="J160" s="2">
        <v>72925</v>
      </c>
      <c r="K160" s="3">
        <v>0</v>
      </c>
      <c r="L160" t="s">
        <v>25</v>
      </c>
      <c r="M160" t="s">
        <v>44</v>
      </c>
      <c r="N160" s="2">
        <f>Employee_Data[[#This Row],[Basic Salary]]*10%</f>
        <v>607.70833333333337</v>
      </c>
      <c r="O160" s="4">
        <f>Employee_Data[[#This Row],[Basic Salary]]*7.5%</f>
        <v>455.78124999999994</v>
      </c>
      <c r="P160" s="2">
        <f>Employee_Data[[#This Row],[Basic Salary]]*3%</f>
        <v>182.31249999999997</v>
      </c>
      <c r="Q160" s="2">
        <f>SUM(Employee_Data[[#This Row],[Basic Salary]],Employee_Data[[#This Row],[HRA]],Employee_Data[[#This Row],[MA]],Employee_Data[[#This Row],[TA]])</f>
        <v>7322.8854166666661</v>
      </c>
      <c r="R160" s="4">
        <f>Employee_Data[[#This Row],[Basic Salary]]*12.5%</f>
        <v>759.63541666666663</v>
      </c>
      <c r="S160" s="2">
        <f>Employee_Data[[#This Row],[Annual Salary]]/12</f>
        <v>6077.083333333333</v>
      </c>
    </row>
    <row r="161" spans="1:19" x14ac:dyDescent="0.3">
      <c r="A161" t="s">
        <v>397</v>
      </c>
      <c r="B161" t="s">
        <v>398</v>
      </c>
      <c r="C161" t="s">
        <v>35</v>
      </c>
      <c r="D161" t="s">
        <v>4</v>
      </c>
      <c r="E161" t="s">
        <v>56</v>
      </c>
      <c r="F161" t="s">
        <v>42</v>
      </c>
      <c r="G161" t="s">
        <v>43</v>
      </c>
      <c r="H161">
        <v>36</v>
      </c>
      <c r="I161" s="1">
        <v>44785</v>
      </c>
      <c r="J161" s="2">
        <v>83548</v>
      </c>
      <c r="K161" s="3">
        <v>0</v>
      </c>
      <c r="L161" t="s">
        <v>25</v>
      </c>
      <c r="M161" t="s">
        <v>70</v>
      </c>
      <c r="N161" s="2">
        <f>Employee_Data[[#This Row],[Basic Salary]]*10%</f>
        <v>696.23333333333335</v>
      </c>
      <c r="O161" s="4">
        <f>Employee_Data[[#This Row],[Basic Salary]]*7.5%</f>
        <v>522.17499999999995</v>
      </c>
      <c r="P161" s="2">
        <f>Employee_Data[[#This Row],[Basic Salary]]*3%</f>
        <v>208.86999999999998</v>
      </c>
      <c r="Q161" s="2">
        <f>SUM(Employee_Data[[#This Row],[Basic Salary]],Employee_Data[[#This Row],[HRA]],Employee_Data[[#This Row],[MA]],Employee_Data[[#This Row],[TA]])</f>
        <v>8389.6116666666676</v>
      </c>
      <c r="R161" s="4">
        <f>Employee_Data[[#This Row],[Basic Salary]]*12.5%</f>
        <v>870.29166666666663</v>
      </c>
      <c r="S161" s="2">
        <f>Employee_Data[[#This Row],[Annual Salary]]/12</f>
        <v>6962.333333333333</v>
      </c>
    </row>
    <row r="162" spans="1:19" x14ac:dyDescent="0.3">
      <c r="A162" t="s">
        <v>399</v>
      </c>
      <c r="B162" t="s">
        <v>400</v>
      </c>
      <c r="C162" t="s">
        <v>69</v>
      </c>
      <c r="D162" t="s">
        <v>61</v>
      </c>
      <c r="E162" t="s">
        <v>22</v>
      </c>
      <c r="F162" t="s">
        <v>23</v>
      </c>
      <c r="G162" t="s">
        <v>24</v>
      </c>
      <c r="H162">
        <v>53</v>
      </c>
      <c r="I162" s="1">
        <v>38531</v>
      </c>
      <c r="J162" s="2">
        <v>128226</v>
      </c>
      <c r="K162" s="3">
        <v>0.08</v>
      </c>
      <c r="L162" t="s">
        <v>37</v>
      </c>
      <c r="M162" t="s">
        <v>38</v>
      </c>
      <c r="N162" s="2">
        <f>Employee_Data[[#This Row],[Basic Salary]]*10%</f>
        <v>1068.55</v>
      </c>
      <c r="O162" s="4">
        <f>Employee_Data[[#This Row],[Basic Salary]]*7.5%</f>
        <v>801.41250000000002</v>
      </c>
      <c r="P162" s="2">
        <f>Employee_Data[[#This Row],[Basic Salary]]*3%</f>
        <v>320.565</v>
      </c>
      <c r="Q162" s="2">
        <f>SUM(Employee_Data[[#This Row],[Basic Salary]],Employee_Data[[#This Row],[HRA]],Employee_Data[[#This Row],[MA]],Employee_Data[[#This Row],[TA]])</f>
        <v>12876.0275</v>
      </c>
      <c r="R162" s="4">
        <f>Employee_Data[[#This Row],[Basic Salary]]*12.5%</f>
        <v>1335.6875</v>
      </c>
      <c r="S162" s="2">
        <f>Employee_Data[[#This Row],[Annual Salary]]/12</f>
        <v>10685.5</v>
      </c>
    </row>
    <row r="163" spans="1:19" x14ac:dyDescent="0.3">
      <c r="A163" t="s">
        <v>401</v>
      </c>
      <c r="B163" t="s">
        <v>402</v>
      </c>
      <c r="C163" t="s">
        <v>47</v>
      </c>
      <c r="D163" t="s">
        <v>21</v>
      </c>
      <c r="E163" t="s">
        <v>36</v>
      </c>
      <c r="F163" t="s">
        <v>42</v>
      </c>
      <c r="G163" t="s">
        <v>66</v>
      </c>
      <c r="H163">
        <v>31</v>
      </c>
      <c r="I163" s="1">
        <v>43165</v>
      </c>
      <c r="J163" s="2">
        <v>150653</v>
      </c>
      <c r="K163" s="3">
        <v>0.24</v>
      </c>
      <c r="L163" t="s">
        <v>25</v>
      </c>
      <c r="M163" t="s">
        <v>48</v>
      </c>
      <c r="N163" s="2">
        <f>Employee_Data[[#This Row],[Basic Salary]]*10%</f>
        <v>1255.4416666666666</v>
      </c>
      <c r="O163" s="4">
        <f>Employee_Data[[#This Row],[Basic Salary]]*7.5%</f>
        <v>941.58124999999995</v>
      </c>
      <c r="P163" s="2">
        <f>Employee_Data[[#This Row],[Basic Salary]]*3%</f>
        <v>376.63249999999999</v>
      </c>
      <c r="Q163" s="2">
        <f>SUM(Employee_Data[[#This Row],[Basic Salary]],Employee_Data[[#This Row],[HRA]],Employee_Data[[#This Row],[MA]],Employee_Data[[#This Row],[TA]])</f>
        <v>15128.072083333333</v>
      </c>
      <c r="R163" s="4">
        <f>Employee_Data[[#This Row],[Basic Salary]]*12.5%</f>
        <v>1569.3020833333333</v>
      </c>
      <c r="S163" s="2">
        <f>Employee_Data[[#This Row],[Annual Salary]]/12</f>
        <v>12554.416666666666</v>
      </c>
    </row>
    <row r="164" spans="1:19" x14ac:dyDescent="0.3">
      <c r="A164" t="s">
        <v>403</v>
      </c>
      <c r="B164" t="s">
        <v>404</v>
      </c>
      <c r="C164" t="s">
        <v>405</v>
      </c>
      <c r="D164" t="s">
        <v>30</v>
      </c>
      <c r="E164" t="s">
        <v>56</v>
      </c>
      <c r="F164" t="s">
        <v>23</v>
      </c>
      <c r="G164" t="s">
        <v>66</v>
      </c>
      <c r="H164">
        <v>45</v>
      </c>
      <c r="I164" s="1">
        <v>42494</v>
      </c>
      <c r="J164" s="2">
        <v>80989</v>
      </c>
      <c r="K164" s="3">
        <v>0</v>
      </c>
      <c r="L164" t="s">
        <v>25</v>
      </c>
      <c r="M164" t="s">
        <v>26</v>
      </c>
      <c r="N164" s="2">
        <f>Employee_Data[[#This Row],[Basic Salary]]*10%</f>
        <v>674.9083333333333</v>
      </c>
      <c r="O164" s="4">
        <f>Employee_Data[[#This Row],[Basic Salary]]*7.5%</f>
        <v>506.18124999999998</v>
      </c>
      <c r="P164" s="2">
        <f>Employee_Data[[#This Row],[Basic Salary]]*3%</f>
        <v>202.4725</v>
      </c>
      <c r="Q164" s="2">
        <f>SUM(Employee_Data[[#This Row],[Basic Salary]],Employee_Data[[#This Row],[HRA]],Employee_Data[[#This Row],[MA]],Employee_Data[[#This Row],[TA]])</f>
        <v>8132.6454166666663</v>
      </c>
      <c r="R164" s="4">
        <f>Employee_Data[[#This Row],[Basic Salary]]*12.5%</f>
        <v>843.63541666666663</v>
      </c>
      <c r="S164" s="2">
        <f>Employee_Data[[#This Row],[Annual Salary]]/12</f>
        <v>6749.083333333333</v>
      </c>
    </row>
    <row r="165" spans="1:19" x14ac:dyDescent="0.3">
      <c r="A165" t="s">
        <v>406</v>
      </c>
      <c r="B165" t="s">
        <v>407</v>
      </c>
      <c r="C165" t="s">
        <v>408</v>
      </c>
      <c r="D165" t="s">
        <v>21</v>
      </c>
      <c r="E165" t="s">
        <v>31</v>
      </c>
      <c r="F165" t="s">
        <v>23</v>
      </c>
      <c r="G165" t="s">
        <v>66</v>
      </c>
      <c r="H165">
        <v>29</v>
      </c>
      <c r="I165" s="1">
        <v>44619</v>
      </c>
      <c r="J165" s="2">
        <v>74901</v>
      </c>
      <c r="K165" s="3">
        <v>0</v>
      </c>
      <c r="L165" t="s">
        <v>25</v>
      </c>
      <c r="M165" t="s">
        <v>48</v>
      </c>
      <c r="N165" s="2">
        <f>Employee_Data[[#This Row],[Basic Salary]]*10%</f>
        <v>624.17500000000007</v>
      </c>
      <c r="O165" s="4">
        <f>Employee_Data[[#This Row],[Basic Salary]]*7.5%</f>
        <v>468.13124999999997</v>
      </c>
      <c r="P165" s="2">
        <f>Employee_Data[[#This Row],[Basic Salary]]*3%</f>
        <v>187.2525</v>
      </c>
      <c r="Q165" s="2">
        <f>SUM(Employee_Data[[#This Row],[Basic Salary]],Employee_Data[[#This Row],[HRA]],Employee_Data[[#This Row],[MA]],Employee_Data[[#This Row],[TA]])</f>
        <v>7521.3087500000001</v>
      </c>
      <c r="R165" s="4">
        <f>Employee_Data[[#This Row],[Basic Salary]]*12.5%</f>
        <v>780.21875</v>
      </c>
      <c r="S165" s="2">
        <f>Employee_Data[[#This Row],[Annual Salary]]/12</f>
        <v>6241.75</v>
      </c>
    </row>
    <row r="166" spans="1:19" x14ac:dyDescent="0.3">
      <c r="A166" t="s">
        <v>409</v>
      </c>
      <c r="B166" t="s">
        <v>410</v>
      </c>
      <c r="C166" t="s">
        <v>164</v>
      </c>
      <c r="D166" t="s">
        <v>4</v>
      </c>
      <c r="E166" t="s">
        <v>36</v>
      </c>
      <c r="F166" t="s">
        <v>42</v>
      </c>
      <c r="G166" t="s">
        <v>24</v>
      </c>
      <c r="H166">
        <v>27</v>
      </c>
      <c r="I166" s="1">
        <v>44071</v>
      </c>
      <c r="J166" s="2">
        <v>68712</v>
      </c>
      <c r="K166" s="3">
        <v>0</v>
      </c>
      <c r="L166" t="s">
        <v>25</v>
      </c>
      <c r="M166" t="s">
        <v>26</v>
      </c>
      <c r="N166" s="2">
        <f>Employee_Data[[#This Row],[Basic Salary]]*10%</f>
        <v>572.6</v>
      </c>
      <c r="O166" s="4">
        <f>Employee_Data[[#This Row],[Basic Salary]]*7.5%</f>
        <v>429.45</v>
      </c>
      <c r="P166" s="2">
        <f>Employee_Data[[#This Row],[Basic Salary]]*3%</f>
        <v>171.78</v>
      </c>
      <c r="Q166" s="2">
        <f>SUM(Employee_Data[[#This Row],[Basic Salary]],Employee_Data[[#This Row],[HRA]],Employee_Data[[#This Row],[MA]],Employee_Data[[#This Row],[TA]])</f>
        <v>6899.83</v>
      </c>
      <c r="R166" s="4">
        <f>Employee_Data[[#This Row],[Basic Salary]]*12.5%</f>
        <v>715.75</v>
      </c>
      <c r="S166" s="2">
        <f>Employee_Data[[#This Row],[Annual Salary]]/12</f>
        <v>5726</v>
      </c>
    </row>
    <row r="167" spans="1:19" x14ac:dyDescent="0.3">
      <c r="A167" t="s">
        <v>411</v>
      </c>
      <c r="B167" t="s">
        <v>412</v>
      </c>
      <c r="C167" t="s">
        <v>413</v>
      </c>
      <c r="D167" t="s">
        <v>21</v>
      </c>
      <c r="E167" t="s">
        <v>36</v>
      </c>
      <c r="F167" t="s">
        <v>23</v>
      </c>
      <c r="G167" t="s">
        <v>66</v>
      </c>
      <c r="H167">
        <v>26</v>
      </c>
      <c r="I167" s="1">
        <v>44669</v>
      </c>
      <c r="J167" s="2">
        <v>82963</v>
      </c>
      <c r="K167" s="3">
        <v>0</v>
      </c>
      <c r="L167" t="s">
        <v>25</v>
      </c>
      <c r="M167" t="s">
        <v>48</v>
      </c>
      <c r="N167" s="2">
        <f>Employee_Data[[#This Row],[Basic Salary]]*10%</f>
        <v>691.35833333333335</v>
      </c>
      <c r="O167" s="4">
        <f>Employee_Data[[#This Row],[Basic Salary]]*7.5%</f>
        <v>518.51874999999995</v>
      </c>
      <c r="P167" s="2">
        <f>Employee_Data[[#This Row],[Basic Salary]]*3%</f>
        <v>207.40749999999997</v>
      </c>
      <c r="Q167" s="2">
        <f>SUM(Employee_Data[[#This Row],[Basic Salary]],Employee_Data[[#This Row],[HRA]],Employee_Data[[#This Row],[MA]],Employee_Data[[#This Row],[TA]])</f>
        <v>8330.8679166666661</v>
      </c>
      <c r="R167" s="4">
        <f>Employee_Data[[#This Row],[Basic Salary]]*12.5%</f>
        <v>864.19791666666663</v>
      </c>
      <c r="S167" s="2">
        <f>Employee_Data[[#This Row],[Annual Salary]]/12</f>
        <v>6913.583333333333</v>
      </c>
    </row>
    <row r="168" spans="1:19" x14ac:dyDescent="0.3">
      <c r="A168" t="s">
        <v>414</v>
      </c>
      <c r="B168" t="s">
        <v>415</v>
      </c>
      <c r="C168" t="s">
        <v>268</v>
      </c>
      <c r="D168" t="s">
        <v>21</v>
      </c>
      <c r="E168" t="s">
        <v>36</v>
      </c>
      <c r="F168" t="s">
        <v>42</v>
      </c>
      <c r="G168" t="s">
        <v>43</v>
      </c>
      <c r="H168">
        <v>53</v>
      </c>
      <c r="I168" s="1">
        <v>39978</v>
      </c>
      <c r="J168" s="2">
        <v>123203</v>
      </c>
      <c r="K168" s="3">
        <v>0.1</v>
      </c>
      <c r="L168" t="s">
        <v>25</v>
      </c>
      <c r="M168" t="s">
        <v>48</v>
      </c>
      <c r="N168" s="2">
        <f>Employee_Data[[#This Row],[Basic Salary]]*10%</f>
        <v>1026.6916666666666</v>
      </c>
      <c r="O168" s="4">
        <f>Employee_Data[[#This Row],[Basic Salary]]*7.5%</f>
        <v>770.01874999999995</v>
      </c>
      <c r="P168" s="2">
        <f>Employee_Data[[#This Row],[Basic Salary]]*3%</f>
        <v>308.00749999999999</v>
      </c>
      <c r="Q168" s="2">
        <f>SUM(Employee_Data[[#This Row],[Basic Salary]],Employee_Data[[#This Row],[HRA]],Employee_Data[[#This Row],[MA]],Employee_Data[[#This Row],[TA]])</f>
        <v>12371.634583333333</v>
      </c>
      <c r="R168" s="4">
        <f>Employee_Data[[#This Row],[Basic Salary]]*12.5%</f>
        <v>1283.3645833333333</v>
      </c>
      <c r="S168" s="2">
        <f>Employee_Data[[#This Row],[Annual Salary]]/12</f>
        <v>10266.916666666666</v>
      </c>
    </row>
    <row r="169" spans="1:19" x14ac:dyDescent="0.3">
      <c r="A169" t="s">
        <v>416</v>
      </c>
      <c r="B169" t="s">
        <v>417</v>
      </c>
      <c r="C169" t="s">
        <v>47</v>
      </c>
      <c r="D169" t="s">
        <v>55</v>
      </c>
      <c r="E169" t="s">
        <v>31</v>
      </c>
      <c r="F169" t="s">
        <v>42</v>
      </c>
      <c r="G169" t="s">
        <v>24</v>
      </c>
      <c r="H169">
        <v>64</v>
      </c>
      <c r="I169" s="1">
        <v>41157</v>
      </c>
      <c r="J169" s="2">
        <v>195416</v>
      </c>
      <c r="K169" s="3">
        <v>0.22</v>
      </c>
      <c r="L169" t="s">
        <v>37</v>
      </c>
      <c r="M169" t="s">
        <v>62</v>
      </c>
      <c r="N169" s="2">
        <f>Employee_Data[[#This Row],[Basic Salary]]*10%</f>
        <v>1628.4666666666667</v>
      </c>
      <c r="O169" s="4">
        <f>Employee_Data[[#This Row],[Basic Salary]]*7.5%</f>
        <v>1221.3499999999999</v>
      </c>
      <c r="P169" s="2">
        <f>Employee_Data[[#This Row],[Basic Salary]]*3%</f>
        <v>488.53999999999996</v>
      </c>
      <c r="Q169" s="2">
        <f>SUM(Employee_Data[[#This Row],[Basic Salary]],Employee_Data[[#This Row],[HRA]],Employee_Data[[#This Row],[MA]],Employee_Data[[#This Row],[TA]])</f>
        <v>19623.023333333331</v>
      </c>
      <c r="R169" s="4">
        <f>Employee_Data[[#This Row],[Basic Salary]]*12.5%</f>
        <v>2035.5833333333333</v>
      </c>
      <c r="S169" s="2">
        <f>Employee_Data[[#This Row],[Annual Salary]]/12</f>
        <v>16284.666666666666</v>
      </c>
    </row>
    <row r="170" spans="1:19" x14ac:dyDescent="0.3">
      <c r="A170" t="s">
        <v>418</v>
      </c>
      <c r="B170" t="s">
        <v>419</v>
      </c>
      <c r="C170" t="s">
        <v>47</v>
      </c>
      <c r="D170" t="s">
        <v>80</v>
      </c>
      <c r="E170" t="s">
        <v>22</v>
      </c>
      <c r="F170" t="s">
        <v>23</v>
      </c>
      <c r="G170" t="s">
        <v>84</v>
      </c>
      <c r="H170">
        <v>32</v>
      </c>
      <c r="I170" s="1">
        <v>43258</v>
      </c>
      <c r="J170" s="2">
        <v>156418</v>
      </c>
      <c r="K170" s="3">
        <v>0.23</v>
      </c>
      <c r="L170" t="s">
        <v>25</v>
      </c>
      <c r="M170" t="s">
        <v>26</v>
      </c>
      <c r="N170" s="2">
        <f>Employee_Data[[#This Row],[Basic Salary]]*10%</f>
        <v>1303.4833333333336</v>
      </c>
      <c r="O170" s="4">
        <f>Employee_Data[[#This Row],[Basic Salary]]*7.5%</f>
        <v>977.61249999999995</v>
      </c>
      <c r="P170" s="2">
        <f>Employee_Data[[#This Row],[Basic Salary]]*3%</f>
        <v>391.04500000000002</v>
      </c>
      <c r="Q170" s="2">
        <f>SUM(Employee_Data[[#This Row],[Basic Salary]],Employee_Data[[#This Row],[HRA]],Employee_Data[[#This Row],[MA]],Employee_Data[[#This Row],[TA]])</f>
        <v>15706.974166666667</v>
      </c>
      <c r="R170" s="4">
        <f>Employee_Data[[#This Row],[Basic Salary]]*12.5%</f>
        <v>1629.3541666666667</v>
      </c>
      <c r="S170" s="2">
        <f>Employee_Data[[#This Row],[Annual Salary]]/12</f>
        <v>13034.833333333334</v>
      </c>
    </row>
    <row r="171" spans="1:19" x14ac:dyDescent="0.3">
      <c r="A171" t="s">
        <v>420</v>
      </c>
      <c r="B171" t="s">
        <v>421</v>
      </c>
      <c r="C171" t="s">
        <v>89</v>
      </c>
      <c r="D171" t="s">
        <v>55</v>
      </c>
      <c r="E171" t="s">
        <v>22</v>
      </c>
      <c r="F171" t="s">
        <v>42</v>
      </c>
      <c r="G171" t="s">
        <v>24</v>
      </c>
      <c r="H171">
        <v>42</v>
      </c>
      <c r="I171" s="1">
        <v>42174</v>
      </c>
      <c r="J171" s="2">
        <v>255892</v>
      </c>
      <c r="K171" s="3">
        <v>0.38</v>
      </c>
      <c r="L171" t="s">
        <v>25</v>
      </c>
      <c r="M171" t="s">
        <v>70</v>
      </c>
      <c r="N171" s="2">
        <f>Employee_Data[[#This Row],[Basic Salary]]*10%</f>
        <v>2132.4333333333334</v>
      </c>
      <c r="O171" s="4">
        <f>Employee_Data[[#This Row],[Basic Salary]]*7.5%</f>
        <v>1599.3249999999998</v>
      </c>
      <c r="P171" s="2">
        <f>Employee_Data[[#This Row],[Basic Salary]]*3%</f>
        <v>639.7299999999999</v>
      </c>
      <c r="Q171" s="2">
        <f>SUM(Employee_Data[[#This Row],[Basic Salary]],Employee_Data[[#This Row],[HRA]],Employee_Data[[#This Row],[MA]],Employee_Data[[#This Row],[TA]])</f>
        <v>25695.821666666667</v>
      </c>
      <c r="R171" s="4">
        <f>Employee_Data[[#This Row],[Basic Salary]]*12.5%</f>
        <v>2665.5416666666665</v>
      </c>
      <c r="S171" s="2">
        <f>Employee_Data[[#This Row],[Annual Salary]]/12</f>
        <v>21324.333333333332</v>
      </c>
    </row>
    <row r="172" spans="1:19" x14ac:dyDescent="0.3">
      <c r="A172" t="s">
        <v>422</v>
      </c>
      <c r="B172" t="s">
        <v>423</v>
      </c>
      <c r="C172" t="s">
        <v>101</v>
      </c>
      <c r="D172" t="s">
        <v>4</v>
      </c>
      <c r="E172" t="s">
        <v>31</v>
      </c>
      <c r="F172" t="s">
        <v>42</v>
      </c>
      <c r="G172" t="s">
        <v>66</v>
      </c>
      <c r="H172">
        <v>31</v>
      </c>
      <c r="I172" s="1">
        <v>43317</v>
      </c>
      <c r="J172" s="2">
        <v>96195</v>
      </c>
      <c r="K172" s="3">
        <v>0</v>
      </c>
      <c r="L172" t="s">
        <v>25</v>
      </c>
      <c r="M172" t="s">
        <v>51</v>
      </c>
      <c r="N172" s="2">
        <f>Employee_Data[[#This Row],[Basic Salary]]*10%</f>
        <v>801.625</v>
      </c>
      <c r="O172" s="4">
        <f>Employee_Data[[#This Row],[Basic Salary]]*7.5%</f>
        <v>601.21875</v>
      </c>
      <c r="P172" s="2">
        <f>Employee_Data[[#This Row],[Basic Salary]]*3%</f>
        <v>240.48749999999998</v>
      </c>
      <c r="Q172" s="2">
        <f>SUM(Employee_Data[[#This Row],[Basic Salary]],Employee_Data[[#This Row],[HRA]],Employee_Data[[#This Row],[MA]],Employee_Data[[#This Row],[TA]])</f>
        <v>9659.5812499999993</v>
      </c>
      <c r="R172" s="4">
        <f>Employee_Data[[#This Row],[Basic Salary]]*12.5%</f>
        <v>1002.03125</v>
      </c>
      <c r="S172" s="2">
        <f>Employee_Data[[#This Row],[Annual Salary]]/12</f>
        <v>8016.25</v>
      </c>
    </row>
    <row r="173" spans="1:19" x14ac:dyDescent="0.3">
      <c r="A173" t="s">
        <v>424</v>
      </c>
      <c r="B173" t="s">
        <v>425</v>
      </c>
      <c r="C173" t="s">
        <v>35</v>
      </c>
      <c r="D173" t="s">
        <v>4</v>
      </c>
      <c r="E173" t="s">
        <v>36</v>
      </c>
      <c r="F173" t="s">
        <v>42</v>
      </c>
      <c r="G173" t="s">
        <v>24</v>
      </c>
      <c r="H173">
        <v>40</v>
      </c>
      <c r="I173" s="1">
        <v>39352</v>
      </c>
      <c r="J173" s="2">
        <v>77637</v>
      </c>
      <c r="K173" s="3">
        <v>0</v>
      </c>
      <c r="L173" t="s">
        <v>37</v>
      </c>
      <c r="M173" t="s">
        <v>57</v>
      </c>
      <c r="N173" s="2">
        <f>Employee_Data[[#This Row],[Basic Salary]]*10%</f>
        <v>646.97500000000002</v>
      </c>
      <c r="O173" s="4">
        <f>Employee_Data[[#This Row],[Basic Salary]]*7.5%</f>
        <v>485.23124999999999</v>
      </c>
      <c r="P173" s="2">
        <f>Employee_Data[[#This Row],[Basic Salary]]*3%</f>
        <v>194.0925</v>
      </c>
      <c r="Q173" s="2">
        <f>SUM(Employee_Data[[#This Row],[Basic Salary]],Employee_Data[[#This Row],[HRA]],Employee_Data[[#This Row],[MA]],Employee_Data[[#This Row],[TA]])</f>
        <v>7796.0487499999999</v>
      </c>
      <c r="R173" s="4">
        <f>Employee_Data[[#This Row],[Basic Salary]]*12.5%</f>
        <v>808.71875</v>
      </c>
      <c r="S173" s="2">
        <f>Employee_Data[[#This Row],[Annual Salary]]/12</f>
        <v>6469.75</v>
      </c>
    </row>
    <row r="174" spans="1:19" x14ac:dyDescent="0.3">
      <c r="A174" t="s">
        <v>426</v>
      </c>
      <c r="B174" t="s">
        <v>427</v>
      </c>
      <c r="C174" t="s">
        <v>134</v>
      </c>
      <c r="D174" t="s">
        <v>21</v>
      </c>
      <c r="E174" t="s">
        <v>36</v>
      </c>
      <c r="F174" t="s">
        <v>23</v>
      </c>
      <c r="G174" t="s">
        <v>24</v>
      </c>
      <c r="H174">
        <v>46</v>
      </c>
      <c r="I174" s="1">
        <v>37768</v>
      </c>
      <c r="J174" s="2">
        <v>79294</v>
      </c>
      <c r="K174" s="3">
        <v>0</v>
      </c>
      <c r="L174" t="s">
        <v>37</v>
      </c>
      <c r="M174" t="s">
        <v>62</v>
      </c>
      <c r="N174" s="2">
        <f>Employee_Data[[#This Row],[Basic Salary]]*10%</f>
        <v>660.7833333333333</v>
      </c>
      <c r="O174" s="4">
        <f>Employee_Data[[#This Row],[Basic Salary]]*7.5%</f>
        <v>495.58749999999998</v>
      </c>
      <c r="P174" s="2">
        <f>Employee_Data[[#This Row],[Basic Salary]]*3%</f>
        <v>198.23499999999999</v>
      </c>
      <c r="Q174" s="2">
        <f>SUM(Employee_Data[[#This Row],[Basic Salary]],Employee_Data[[#This Row],[HRA]],Employee_Data[[#This Row],[MA]],Employee_Data[[#This Row],[TA]])</f>
        <v>7962.4391666666661</v>
      </c>
      <c r="R174" s="4">
        <f>Employee_Data[[#This Row],[Basic Salary]]*12.5%</f>
        <v>825.97916666666663</v>
      </c>
      <c r="S174" s="2">
        <f>Employee_Data[[#This Row],[Annual Salary]]/12</f>
        <v>6607.833333333333</v>
      </c>
    </row>
    <row r="175" spans="1:19" x14ac:dyDescent="0.3">
      <c r="A175" t="s">
        <v>428</v>
      </c>
      <c r="B175" t="s">
        <v>429</v>
      </c>
      <c r="C175" t="s">
        <v>89</v>
      </c>
      <c r="D175" t="s">
        <v>61</v>
      </c>
      <c r="E175" t="s">
        <v>56</v>
      </c>
      <c r="F175" t="s">
        <v>23</v>
      </c>
      <c r="G175" t="s">
        <v>66</v>
      </c>
      <c r="H175">
        <v>35</v>
      </c>
      <c r="I175" s="1">
        <v>42562</v>
      </c>
      <c r="J175" s="2">
        <v>254287</v>
      </c>
      <c r="K175" s="3">
        <v>0.31</v>
      </c>
      <c r="L175" t="s">
        <v>25</v>
      </c>
      <c r="M175" t="s">
        <v>48</v>
      </c>
      <c r="N175" s="2">
        <f>Employee_Data[[#This Row],[Basic Salary]]*10%</f>
        <v>2119.0583333333334</v>
      </c>
      <c r="O175" s="4">
        <f>Employee_Data[[#This Row],[Basic Salary]]*7.5%</f>
        <v>1589.2937499999998</v>
      </c>
      <c r="P175" s="2">
        <f>Employee_Data[[#This Row],[Basic Salary]]*3%</f>
        <v>635.71749999999997</v>
      </c>
      <c r="Q175" s="2">
        <f>SUM(Employee_Data[[#This Row],[Basic Salary]],Employee_Data[[#This Row],[HRA]],Employee_Data[[#This Row],[MA]],Employee_Data[[#This Row],[TA]])</f>
        <v>25534.652916666666</v>
      </c>
      <c r="R175" s="4">
        <f>Employee_Data[[#This Row],[Basic Salary]]*12.5%</f>
        <v>2648.8229166666665</v>
      </c>
      <c r="S175" s="2">
        <f>Employee_Data[[#This Row],[Annual Salary]]/12</f>
        <v>21190.583333333332</v>
      </c>
    </row>
    <row r="176" spans="1:19" x14ac:dyDescent="0.3">
      <c r="A176" t="s">
        <v>430</v>
      </c>
      <c r="B176" t="s">
        <v>431</v>
      </c>
      <c r="C176" t="s">
        <v>173</v>
      </c>
      <c r="D176" t="s">
        <v>4</v>
      </c>
      <c r="E176" t="s">
        <v>56</v>
      </c>
      <c r="F176" t="s">
        <v>23</v>
      </c>
      <c r="G176" t="s">
        <v>24</v>
      </c>
      <c r="H176">
        <v>64</v>
      </c>
      <c r="I176" s="1">
        <v>34512</v>
      </c>
      <c r="J176" s="2">
        <v>70516</v>
      </c>
      <c r="K176" s="3">
        <v>0</v>
      </c>
      <c r="L176" t="s">
        <v>37</v>
      </c>
      <c r="M176" t="s">
        <v>62</v>
      </c>
      <c r="N176" s="2">
        <f>Employee_Data[[#This Row],[Basic Salary]]*10%</f>
        <v>587.63333333333333</v>
      </c>
      <c r="O176" s="4">
        <f>Employee_Data[[#This Row],[Basic Salary]]*7.5%</f>
        <v>440.72499999999997</v>
      </c>
      <c r="P176" s="2">
        <f>Employee_Data[[#This Row],[Basic Salary]]*3%</f>
        <v>176.29</v>
      </c>
      <c r="Q176" s="2">
        <f>SUM(Employee_Data[[#This Row],[Basic Salary]],Employee_Data[[#This Row],[HRA]],Employee_Data[[#This Row],[MA]],Employee_Data[[#This Row],[TA]])</f>
        <v>7080.9816666666666</v>
      </c>
      <c r="R176" s="4">
        <f>Employee_Data[[#This Row],[Basic Salary]]*12.5%</f>
        <v>734.54166666666663</v>
      </c>
      <c r="S176" s="2">
        <f>Employee_Data[[#This Row],[Annual Salary]]/12</f>
        <v>5876.333333333333</v>
      </c>
    </row>
    <row r="177" spans="1:19" x14ac:dyDescent="0.3">
      <c r="A177" t="s">
        <v>432</v>
      </c>
      <c r="B177" t="s">
        <v>433</v>
      </c>
      <c r="C177" t="s">
        <v>54</v>
      </c>
      <c r="D177" t="s">
        <v>55</v>
      </c>
      <c r="E177" t="s">
        <v>36</v>
      </c>
      <c r="F177" t="s">
        <v>42</v>
      </c>
      <c r="G177" t="s">
        <v>43</v>
      </c>
      <c r="H177">
        <v>58</v>
      </c>
      <c r="I177" s="1">
        <v>41797</v>
      </c>
      <c r="J177" s="2">
        <v>98296</v>
      </c>
      <c r="K177" s="3">
        <v>0</v>
      </c>
      <c r="L177" t="s">
        <v>137</v>
      </c>
      <c r="M177" t="s">
        <v>289</v>
      </c>
      <c r="N177" s="2">
        <f>Employee_Data[[#This Row],[Basic Salary]]*10%</f>
        <v>819.13333333333333</v>
      </c>
      <c r="O177" s="4">
        <f>Employee_Data[[#This Row],[Basic Salary]]*7.5%</f>
        <v>614.34999999999991</v>
      </c>
      <c r="P177" s="2">
        <f>Employee_Data[[#This Row],[Basic Salary]]*3%</f>
        <v>245.73999999999998</v>
      </c>
      <c r="Q177" s="2">
        <f>SUM(Employee_Data[[#This Row],[Basic Salary]],Employee_Data[[#This Row],[HRA]],Employee_Data[[#This Row],[MA]],Employee_Data[[#This Row],[TA]])</f>
        <v>9870.5566666666673</v>
      </c>
      <c r="R177" s="4">
        <f>Employee_Data[[#This Row],[Basic Salary]]*12.5%</f>
        <v>1023.9166666666666</v>
      </c>
      <c r="S177" s="2">
        <f>Employee_Data[[#This Row],[Annual Salary]]/12</f>
        <v>8191.333333333333</v>
      </c>
    </row>
    <row r="178" spans="1:19" x14ac:dyDescent="0.3">
      <c r="A178" t="s">
        <v>434</v>
      </c>
      <c r="B178" t="s">
        <v>435</v>
      </c>
      <c r="C178" t="s">
        <v>436</v>
      </c>
      <c r="D178" t="s">
        <v>21</v>
      </c>
      <c r="E178" t="s">
        <v>22</v>
      </c>
      <c r="F178" t="s">
        <v>23</v>
      </c>
      <c r="G178" t="s">
        <v>66</v>
      </c>
      <c r="H178">
        <v>61</v>
      </c>
      <c r="I178" s="1">
        <v>42368</v>
      </c>
      <c r="J178" s="2">
        <v>98565</v>
      </c>
      <c r="K178" s="3">
        <v>0</v>
      </c>
      <c r="L178" t="s">
        <v>25</v>
      </c>
      <c r="M178" t="s">
        <v>51</v>
      </c>
      <c r="N178" s="2">
        <f>Employee_Data[[#This Row],[Basic Salary]]*10%</f>
        <v>821.375</v>
      </c>
      <c r="O178" s="4">
        <f>Employee_Data[[#This Row],[Basic Salary]]*7.5%</f>
        <v>616.03125</v>
      </c>
      <c r="P178" s="2">
        <f>Employee_Data[[#This Row],[Basic Salary]]*3%</f>
        <v>246.41249999999999</v>
      </c>
      <c r="Q178" s="2">
        <f>SUM(Employee_Data[[#This Row],[Basic Salary]],Employee_Data[[#This Row],[HRA]],Employee_Data[[#This Row],[MA]],Employee_Data[[#This Row],[TA]])</f>
        <v>9897.5687500000004</v>
      </c>
      <c r="R178" s="4">
        <f>Employee_Data[[#This Row],[Basic Salary]]*12.5%</f>
        <v>1026.71875</v>
      </c>
      <c r="S178" s="2">
        <f>Employee_Data[[#This Row],[Annual Salary]]/12</f>
        <v>8213.75</v>
      </c>
    </row>
    <row r="179" spans="1:19" x14ac:dyDescent="0.3">
      <c r="A179" t="s">
        <v>437</v>
      </c>
      <c r="B179" t="s">
        <v>438</v>
      </c>
      <c r="C179" t="s">
        <v>60</v>
      </c>
      <c r="D179" t="s">
        <v>61</v>
      </c>
      <c r="E179" t="s">
        <v>22</v>
      </c>
      <c r="F179" t="s">
        <v>23</v>
      </c>
      <c r="G179" t="s">
        <v>43</v>
      </c>
      <c r="H179">
        <v>41</v>
      </c>
      <c r="I179" s="1">
        <v>44151</v>
      </c>
      <c r="J179" s="2">
        <v>59149</v>
      </c>
      <c r="K179" s="3">
        <v>0</v>
      </c>
      <c r="L179" t="s">
        <v>137</v>
      </c>
      <c r="M179" t="s">
        <v>138</v>
      </c>
      <c r="N179" s="2">
        <f>Employee_Data[[#This Row],[Basic Salary]]*10%</f>
        <v>492.9083333333333</v>
      </c>
      <c r="O179" s="4">
        <f>Employee_Data[[#This Row],[Basic Salary]]*7.5%</f>
        <v>369.68124999999998</v>
      </c>
      <c r="P179" s="2">
        <f>Employee_Data[[#This Row],[Basic Salary]]*3%</f>
        <v>147.87249999999997</v>
      </c>
      <c r="Q179" s="2">
        <f>SUM(Employee_Data[[#This Row],[Basic Salary]],Employee_Data[[#This Row],[HRA]],Employee_Data[[#This Row],[MA]],Employee_Data[[#This Row],[TA]])</f>
        <v>5939.5454166666668</v>
      </c>
      <c r="R179" s="4">
        <f>Employee_Data[[#This Row],[Basic Salary]]*12.5%</f>
        <v>616.13541666666663</v>
      </c>
      <c r="S179" s="2">
        <f>Employee_Data[[#This Row],[Annual Salary]]/12</f>
        <v>4929.083333333333</v>
      </c>
    </row>
    <row r="180" spans="1:19" x14ac:dyDescent="0.3">
      <c r="A180" t="s">
        <v>439</v>
      </c>
      <c r="B180" t="s">
        <v>440</v>
      </c>
      <c r="C180" t="s">
        <v>60</v>
      </c>
      <c r="D180" t="s">
        <v>80</v>
      </c>
      <c r="E180" t="s">
        <v>56</v>
      </c>
      <c r="F180" t="s">
        <v>42</v>
      </c>
      <c r="G180" t="s">
        <v>43</v>
      </c>
      <c r="H180">
        <v>25</v>
      </c>
      <c r="I180" s="1">
        <v>44207</v>
      </c>
      <c r="J180" s="2">
        <v>70126</v>
      </c>
      <c r="K180" s="3">
        <v>0</v>
      </c>
      <c r="L180" t="s">
        <v>137</v>
      </c>
      <c r="M180" t="s">
        <v>183</v>
      </c>
      <c r="N180" s="2">
        <f>Employee_Data[[#This Row],[Basic Salary]]*10%</f>
        <v>584.38333333333333</v>
      </c>
      <c r="O180" s="4">
        <f>Employee_Data[[#This Row],[Basic Salary]]*7.5%</f>
        <v>438.28749999999997</v>
      </c>
      <c r="P180" s="2">
        <f>Employee_Data[[#This Row],[Basic Salary]]*3%</f>
        <v>175.315</v>
      </c>
      <c r="Q180" s="2">
        <f>SUM(Employee_Data[[#This Row],[Basic Salary]],Employee_Data[[#This Row],[HRA]],Employee_Data[[#This Row],[MA]],Employee_Data[[#This Row],[TA]])</f>
        <v>7041.8191666666662</v>
      </c>
      <c r="R180" s="4">
        <f>Employee_Data[[#This Row],[Basic Salary]]*12.5%</f>
        <v>730.47916666666663</v>
      </c>
      <c r="S180" s="2">
        <f>Employee_Data[[#This Row],[Annual Salary]]/12</f>
        <v>5843.833333333333</v>
      </c>
    </row>
    <row r="181" spans="1:19" x14ac:dyDescent="0.3">
      <c r="A181" t="s">
        <v>441</v>
      </c>
      <c r="B181" t="s">
        <v>442</v>
      </c>
      <c r="C181" t="s">
        <v>89</v>
      </c>
      <c r="D181" t="s">
        <v>126</v>
      </c>
      <c r="E181" t="s">
        <v>22</v>
      </c>
      <c r="F181" t="s">
        <v>42</v>
      </c>
      <c r="G181" t="s">
        <v>24</v>
      </c>
      <c r="H181">
        <v>50</v>
      </c>
      <c r="I181" s="1">
        <v>40752</v>
      </c>
      <c r="J181" s="2">
        <v>216787</v>
      </c>
      <c r="K181" s="3">
        <v>0.33</v>
      </c>
      <c r="L181" t="s">
        <v>37</v>
      </c>
      <c r="M181" t="s">
        <v>111</v>
      </c>
      <c r="N181" s="2">
        <f>Employee_Data[[#This Row],[Basic Salary]]*10%</f>
        <v>1806.5583333333334</v>
      </c>
      <c r="O181" s="4">
        <f>Employee_Data[[#This Row],[Basic Salary]]*7.5%</f>
        <v>1354.9187499999998</v>
      </c>
      <c r="P181" s="2">
        <f>Employee_Data[[#This Row],[Basic Salary]]*3%</f>
        <v>541.96749999999997</v>
      </c>
      <c r="Q181" s="2">
        <f>SUM(Employee_Data[[#This Row],[Basic Salary]],Employee_Data[[#This Row],[HRA]],Employee_Data[[#This Row],[MA]],Employee_Data[[#This Row],[TA]])</f>
        <v>21769.027916666666</v>
      </c>
      <c r="R181" s="4">
        <f>Employee_Data[[#This Row],[Basic Salary]]*12.5%</f>
        <v>2258.1979166666665</v>
      </c>
      <c r="S181" s="2">
        <f>Employee_Data[[#This Row],[Annual Salary]]/12</f>
        <v>18065.583333333332</v>
      </c>
    </row>
    <row r="182" spans="1:19" x14ac:dyDescent="0.3">
      <c r="A182" t="s">
        <v>443</v>
      </c>
      <c r="B182" t="s">
        <v>444</v>
      </c>
      <c r="C182" t="s">
        <v>83</v>
      </c>
      <c r="D182" t="s">
        <v>55</v>
      </c>
      <c r="E182" t="s">
        <v>36</v>
      </c>
      <c r="F182" t="s">
        <v>23</v>
      </c>
      <c r="G182" t="s">
        <v>43</v>
      </c>
      <c r="H182">
        <v>61</v>
      </c>
      <c r="I182" s="1">
        <v>39012</v>
      </c>
      <c r="J182" s="2">
        <v>156512</v>
      </c>
      <c r="K182" s="3">
        <v>0.13</v>
      </c>
      <c r="L182" t="s">
        <v>137</v>
      </c>
      <c r="M182" t="s">
        <v>138</v>
      </c>
      <c r="N182" s="2">
        <f>Employee_Data[[#This Row],[Basic Salary]]*10%</f>
        <v>1304.2666666666667</v>
      </c>
      <c r="O182" s="4">
        <f>Employee_Data[[#This Row],[Basic Salary]]*7.5%</f>
        <v>978.19999999999993</v>
      </c>
      <c r="P182" s="2">
        <f>Employee_Data[[#This Row],[Basic Salary]]*3%</f>
        <v>391.28</v>
      </c>
      <c r="Q182" s="2">
        <f>SUM(Employee_Data[[#This Row],[Basic Salary]],Employee_Data[[#This Row],[HRA]],Employee_Data[[#This Row],[MA]],Employee_Data[[#This Row],[TA]])</f>
        <v>15716.413333333334</v>
      </c>
      <c r="R182" s="4">
        <f>Employee_Data[[#This Row],[Basic Salary]]*12.5%</f>
        <v>1630.3333333333333</v>
      </c>
      <c r="S182" s="2">
        <f>Employee_Data[[#This Row],[Annual Salary]]/12</f>
        <v>13042.666666666666</v>
      </c>
    </row>
    <row r="183" spans="1:19" x14ac:dyDescent="0.3">
      <c r="A183" t="s">
        <v>445</v>
      </c>
      <c r="B183" t="s">
        <v>446</v>
      </c>
      <c r="C183" t="s">
        <v>29</v>
      </c>
      <c r="D183" t="s">
        <v>61</v>
      </c>
      <c r="E183" t="s">
        <v>36</v>
      </c>
      <c r="F183" t="s">
        <v>42</v>
      </c>
      <c r="G183" t="s">
        <v>24</v>
      </c>
      <c r="H183">
        <v>63</v>
      </c>
      <c r="I183" s="1">
        <v>40689</v>
      </c>
      <c r="J183" s="2">
        <v>44444</v>
      </c>
      <c r="K183" s="3">
        <v>0</v>
      </c>
      <c r="L183" t="s">
        <v>25</v>
      </c>
      <c r="M183" t="s">
        <v>70</v>
      </c>
      <c r="N183" s="2">
        <f>Employee_Data[[#This Row],[Basic Salary]]*10%</f>
        <v>370.36666666666667</v>
      </c>
      <c r="O183" s="4">
        <f>Employee_Data[[#This Row],[Basic Salary]]*7.5%</f>
        <v>277.77499999999998</v>
      </c>
      <c r="P183" s="2">
        <f>Employee_Data[[#This Row],[Basic Salary]]*3%</f>
        <v>111.10999999999999</v>
      </c>
      <c r="Q183" s="2">
        <f>SUM(Employee_Data[[#This Row],[Basic Salary]],Employee_Data[[#This Row],[HRA]],Employee_Data[[#This Row],[MA]],Employee_Data[[#This Row],[TA]])</f>
        <v>4462.9183333333331</v>
      </c>
      <c r="R183" s="4">
        <f>Employee_Data[[#This Row],[Basic Salary]]*12.5%</f>
        <v>462.95833333333331</v>
      </c>
      <c r="S183" s="2">
        <f>Employee_Data[[#This Row],[Annual Salary]]/12</f>
        <v>3703.6666666666665</v>
      </c>
    </row>
    <row r="184" spans="1:19" x14ac:dyDescent="0.3">
      <c r="A184" t="s">
        <v>447</v>
      </c>
      <c r="B184" t="s">
        <v>448</v>
      </c>
      <c r="C184" t="s">
        <v>89</v>
      </c>
      <c r="D184" t="s">
        <v>30</v>
      </c>
      <c r="E184" t="s">
        <v>36</v>
      </c>
      <c r="F184" t="s">
        <v>42</v>
      </c>
      <c r="G184" t="s">
        <v>24</v>
      </c>
      <c r="H184">
        <v>45</v>
      </c>
      <c r="I184" s="1">
        <v>41663</v>
      </c>
      <c r="J184" s="2">
        <v>257725</v>
      </c>
      <c r="K184" s="3">
        <v>0.34</v>
      </c>
      <c r="L184" t="s">
        <v>25</v>
      </c>
      <c r="M184" t="s">
        <v>44</v>
      </c>
      <c r="N184" s="2">
        <f>Employee_Data[[#This Row],[Basic Salary]]*10%</f>
        <v>2147.7083333333335</v>
      </c>
      <c r="O184" s="4">
        <f>Employee_Data[[#This Row],[Basic Salary]]*7.5%</f>
        <v>1610.7812499999998</v>
      </c>
      <c r="P184" s="2">
        <f>Employee_Data[[#This Row],[Basic Salary]]*3%</f>
        <v>644.31249999999989</v>
      </c>
      <c r="Q184" s="2">
        <f>SUM(Employee_Data[[#This Row],[Basic Salary]],Employee_Data[[#This Row],[HRA]],Employee_Data[[#This Row],[MA]],Employee_Data[[#This Row],[TA]])</f>
        <v>25879.885416666664</v>
      </c>
      <c r="R184" s="4">
        <f>Employee_Data[[#This Row],[Basic Salary]]*12.5%</f>
        <v>2684.6354166666665</v>
      </c>
      <c r="S184" s="2">
        <f>Employee_Data[[#This Row],[Annual Salary]]/12</f>
        <v>21477.083333333332</v>
      </c>
    </row>
    <row r="185" spans="1:19" x14ac:dyDescent="0.3">
      <c r="A185" t="s">
        <v>449</v>
      </c>
      <c r="B185" t="s">
        <v>450</v>
      </c>
      <c r="C185" t="s">
        <v>83</v>
      </c>
      <c r="D185" t="s">
        <v>55</v>
      </c>
      <c r="E185" t="s">
        <v>56</v>
      </c>
      <c r="F185" t="s">
        <v>23</v>
      </c>
      <c r="G185" t="s">
        <v>43</v>
      </c>
      <c r="H185">
        <v>33</v>
      </c>
      <c r="I185" s="1">
        <v>41531</v>
      </c>
      <c r="J185" s="2">
        <v>122408</v>
      </c>
      <c r="K185" s="3">
        <v>0.11</v>
      </c>
      <c r="L185" t="s">
        <v>137</v>
      </c>
      <c r="M185" t="s">
        <v>138</v>
      </c>
      <c r="N185" s="2">
        <f>Employee_Data[[#This Row],[Basic Salary]]*10%</f>
        <v>1020.0666666666666</v>
      </c>
      <c r="O185" s="4">
        <f>Employee_Data[[#This Row],[Basic Salary]]*7.5%</f>
        <v>765.05</v>
      </c>
      <c r="P185" s="2">
        <f>Employee_Data[[#This Row],[Basic Salary]]*3%</f>
        <v>306.02</v>
      </c>
      <c r="Q185" s="2">
        <f>SUM(Employee_Data[[#This Row],[Basic Salary]],Employee_Data[[#This Row],[HRA]],Employee_Data[[#This Row],[MA]],Employee_Data[[#This Row],[TA]])</f>
        <v>12291.803333333333</v>
      </c>
      <c r="R185" s="4">
        <f>Employee_Data[[#This Row],[Basic Salary]]*12.5%</f>
        <v>1275.0833333333333</v>
      </c>
      <c r="S185" s="2">
        <f>Employee_Data[[#This Row],[Annual Salary]]/12</f>
        <v>10200.666666666666</v>
      </c>
    </row>
    <row r="186" spans="1:19" x14ac:dyDescent="0.3">
      <c r="A186" t="s">
        <v>451</v>
      </c>
      <c r="B186" t="s">
        <v>452</v>
      </c>
      <c r="C186" t="s">
        <v>413</v>
      </c>
      <c r="D186" t="s">
        <v>21</v>
      </c>
      <c r="E186" t="s">
        <v>31</v>
      </c>
      <c r="F186" t="s">
        <v>23</v>
      </c>
      <c r="G186" t="s">
        <v>43</v>
      </c>
      <c r="H186">
        <v>62</v>
      </c>
      <c r="I186" s="1">
        <v>34799</v>
      </c>
      <c r="J186" s="2">
        <v>78251</v>
      </c>
      <c r="K186" s="3">
        <v>0</v>
      </c>
      <c r="L186" t="s">
        <v>137</v>
      </c>
      <c r="M186" t="s">
        <v>183</v>
      </c>
      <c r="N186" s="2">
        <f>Employee_Data[[#This Row],[Basic Salary]]*10%</f>
        <v>652.0916666666667</v>
      </c>
      <c r="O186" s="4">
        <f>Employee_Data[[#This Row],[Basic Salary]]*7.5%</f>
        <v>489.06875000000002</v>
      </c>
      <c r="P186" s="2">
        <f>Employee_Data[[#This Row],[Basic Salary]]*3%</f>
        <v>195.6275</v>
      </c>
      <c r="Q186" s="2">
        <f>SUM(Employee_Data[[#This Row],[Basic Salary]],Employee_Data[[#This Row],[HRA]],Employee_Data[[#This Row],[MA]],Employee_Data[[#This Row],[TA]])</f>
        <v>7857.7045833333332</v>
      </c>
      <c r="R186" s="4">
        <f>Employee_Data[[#This Row],[Basic Salary]]*12.5%</f>
        <v>815.11458333333337</v>
      </c>
      <c r="S186" s="2">
        <f>Employee_Data[[#This Row],[Annual Salary]]/12</f>
        <v>6520.916666666667</v>
      </c>
    </row>
    <row r="187" spans="1:19" x14ac:dyDescent="0.3">
      <c r="A187" t="s">
        <v>453</v>
      </c>
      <c r="B187" t="s">
        <v>454</v>
      </c>
      <c r="C187" t="s">
        <v>89</v>
      </c>
      <c r="D187" t="s">
        <v>30</v>
      </c>
      <c r="E187" t="s">
        <v>31</v>
      </c>
      <c r="F187" t="s">
        <v>42</v>
      </c>
      <c r="G187" t="s">
        <v>24</v>
      </c>
      <c r="H187">
        <v>43</v>
      </c>
      <c r="I187" s="1">
        <v>38109</v>
      </c>
      <c r="J187" s="2">
        <v>252938</v>
      </c>
      <c r="K187" s="3">
        <v>0.35</v>
      </c>
      <c r="L187" t="s">
        <v>25</v>
      </c>
      <c r="M187" t="s">
        <v>48</v>
      </c>
      <c r="N187" s="2">
        <f>Employee_Data[[#This Row],[Basic Salary]]*10%</f>
        <v>2107.8166666666671</v>
      </c>
      <c r="O187" s="4">
        <f>Employee_Data[[#This Row],[Basic Salary]]*7.5%</f>
        <v>1580.8625</v>
      </c>
      <c r="P187" s="2">
        <f>Employee_Data[[#This Row],[Basic Salary]]*3%</f>
        <v>632.34500000000003</v>
      </c>
      <c r="Q187" s="2">
        <f>SUM(Employee_Data[[#This Row],[Basic Salary]],Employee_Data[[#This Row],[HRA]],Employee_Data[[#This Row],[MA]],Employee_Data[[#This Row],[TA]])</f>
        <v>25399.190833333334</v>
      </c>
      <c r="R187" s="4">
        <f>Employee_Data[[#This Row],[Basic Salary]]*12.5%</f>
        <v>2634.7708333333335</v>
      </c>
      <c r="S187" s="2">
        <f>Employee_Data[[#This Row],[Annual Salary]]/12</f>
        <v>21078.166666666668</v>
      </c>
    </row>
    <row r="188" spans="1:19" x14ac:dyDescent="0.3">
      <c r="A188" t="s">
        <v>455</v>
      </c>
      <c r="B188" t="s">
        <v>456</v>
      </c>
      <c r="C188" t="s">
        <v>54</v>
      </c>
      <c r="D188" t="s">
        <v>30</v>
      </c>
      <c r="E188" t="s">
        <v>22</v>
      </c>
      <c r="F188" t="s">
        <v>23</v>
      </c>
      <c r="G188" t="s">
        <v>84</v>
      </c>
      <c r="H188">
        <v>48</v>
      </c>
      <c r="I188" s="1">
        <v>43766</v>
      </c>
      <c r="J188" s="2">
        <v>90296</v>
      </c>
      <c r="K188" s="3">
        <v>0</v>
      </c>
      <c r="L188" t="s">
        <v>25</v>
      </c>
      <c r="M188" t="s">
        <v>48</v>
      </c>
      <c r="N188" s="2">
        <f>Employee_Data[[#This Row],[Basic Salary]]*10%</f>
        <v>752.4666666666667</v>
      </c>
      <c r="O188" s="4">
        <f>Employee_Data[[#This Row],[Basic Salary]]*7.5%</f>
        <v>564.35</v>
      </c>
      <c r="P188" s="2">
        <f>Employee_Data[[#This Row],[Basic Salary]]*3%</f>
        <v>225.74</v>
      </c>
      <c r="Q188" s="2">
        <f>SUM(Employee_Data[[#This Row],[Basic Salary]],Employee_Data[[#This Row],[HRA]],Employee_Data[[#This Row],[MA]],Employee_Data[[#This Row],[TA]])</f>
        <v>9067.2233333333334</v>
      </c>
      <c r="R188" s="4">
        <f>Employee_Data[[#This Row],[Basic Salary]]*12.5%</f>
        <v>940.58333333333337</v>
      </c>
      <c r="S188" s="2">
        <f>Employee_Data[[#This Row],[Annual Salary]]/12</f>
        <v>7524.666666666667</v>
      </c>
    </row>
    <row r="189" spans="1:19" x14ac:dyDescent="0.3">
      <c r="A189" t="s">
        <v>457</v>
      </c>
      <c r="B189" t="s">
        <v>458</v>
      </c>
      <c r="C189" t="s">
        <v>54</v>
      </c>
      <c r="D189" t="s">
        <v>61</v>
      </c>
      <c r="E189" t="s">
        <v>31</v>
      </c>
      <c r="F189" t="s">
        <v>23</v>
      </c>
      <c r="G189" t="s">
        <v>24</v>
      </c>
      <c r="H189">
        <v>42</v>
      </c>
      <c r="I189" s="1">
        <v>41387</v>
      </c>
      <c r="J189" s="2">
        <v>91689</v>
      </c>
      <c r="K189" s="3">
        <v>0</v>
      </c>
      <c r="L189" t="s">
        <v>37</v>
      </c>
      <c r="M189" t="s">
        <v>57</v>
      </c>
      <c r="N189" s="2">
        <f>Employee_Data[[#This Row],[Basic Salary]]*10%</f>
        <v>764.07500000000005</v>
      </c>
      <c r="O189" s="4">
        <f>Employee_Data[[#This Row],[Basic Salary]]*7.5%</f>
        <v>573.05624999999998</v>
      </c>
      <c r="P189" s="2">
        <f>Employee_Data[[#This Row],[Basic Salary]]*3%</f>
        <v>229.2225</v>
      </c>
      <c r="Q189" s="2">
        <f>SUM(Employee_Data[[#This Row],[Basic Salary]],Employee_Data[[#This Row],[HRA]],Employee_Data[[#This Row],[MA]],Employee_Data[[#This Row],[TA]])</f>
        <v>9207.1037500000002</v>
      </c>
      <c r="R189" s="4">
        <f>Employee_Data[[#This Row],[Basic Salary]]*12.5%</f>
        <v>955.09375</v>
      </c>
      <c r="S189" s="2">
        <f>Employee_Data[[#This Row],[Annual Salary]]/12</f>
        <v>7640.75</v>
      </c>
    </row>
    <row r="190" spans="1:19" x14ac:dyDescent="0.3">
      <c r="A190" t="s">
        <v>459</v>
      </c>
      <c r="B190" t="s">
        <v>460</v>
      </c>
      <c r="C190" t="s">
        <v>83</v>
      </c>
      <c r="D190" t="s">
        <v>61</v>
      </c>
      <c r="E190" t="s">
        <v>31</v>
      </c>
      <c r="F190" t="s">
        <v>23</v>
      </c>
      <c r="G190" t="s">
        <v>24</v>
      </c>
      <c r="H190">
        <v>49</v>
      </c>
      <c r="I190" s="1">
        <v>36516</v>
      </c>
      <c r="J190" s="2">
        <v>158028</v>
      </c>
      <c r="K190" s="3">
        <v>0.12</v>
      </c>
      <c r="L190" t="s">
        <v>37</v>
      </c>
      <c r="M190" t="s">
        <v>62</v>
      </c>
      <c r="N190" s="2">
        <f>Employee_Data[[#This Row],[Basic Salary]]*10%</f>
        <v>1316.9</v>
      </c>
      <c r="O190" s="4">
        <f>Employee_Data[[#This Row],[Basic Salary]]*7.5%</f>
        <v>987.67499999999995</v>
      </c>
      <c r="P190" s="2">
        <f>Employee_Data[[#This Row],[Basic Salary]]*3%</f>
        <v>395.07</v>
      </c>
      <c r="Q190" s="2">
        <f>SUM(Employee_Data[[#This Row],[Basic Salary]],Employee_Data[[#This Row],[HRA]],Employee_Data[[#This Row],[MA]],Employee_Data[[#This Row],[TA]])</f>
        <v>15868.644999999999</v>
      </c>
      <c r="R190" s="4">
        <f>Employee_Data[[#This Row],[Basic Salary]]*12.5%</f>
        <v>1646.125</v>
      </c>
      <c r="S190" s="2">
        <f>Employee_Data[[#This Row],[Annual Salary]]/12</f>
        <v>13169</v>
      </c>
    </row>
    <row r="191" spans="1:19" x14ac:dyDescent="0.3">
      <c r="A191" t="s">
        <v>461</v>
      </c>
      <c r="B191" t="s">
        <v>462</v>
      </c>
      <c r="C191" t="s">
        <v>405</v>
      </c>
      <c r="D191" t="s">
        <v>30</v>
      </c>
      <c r="E191" t="s">
        <v>31</v>
      </c>
      <c r="F191" t="s">
        <v>23</v>
      </c>
      <c r="G191" t="s">
        <v>24</v>
      </c>
      <c r="H191">
        <v>33</v>
      </c>
      <c r="I191" s="1">
        <v>44769</v>
      </c>
      <c r="J191" s="2">
        <v>89759</v>
      </c>
      <c r="K191" s="3">
        <v>0</v>
      </c>
      <c r="L191" t="s">
        <v>37</v>
      </c>
      <c r="M191" t="s">
        <v>57</v>
      </c>
      <c r="N191" s="2">
        <f>Employee_Data[[#This Row],[Basic Salary]]*10%</f>
        <v>747.99166666666679</v>
      </c>
      <c r="O191" s="4">
        <f>Employee_Data[[#This Row],[Basic Salary]]*7.5%</f>
        <v>560.99374999999998</v>
      </c>
      <c r="P191" s="2">
        <f>Employee_Data[[#This Row],[Basic Salary]]*3%</f>
        <v>224.39750000000001</v>
      </c>
      <c r="Q191" s="2">
        <f>SUM(Employee_Data[[#This Row],[Basic Salary]],Employee_Data[[#This Row],[HRA]],Employee_Data[[#This Row],[MA]],Employee_Data[[#This Row],[TA]])</f>
        <v>9013.2995833333316</v>
      </c>
      <c r="R191" s="4">
        <f>Employee_Data[[#This Row],[Basic Salary]]*12.5%</f>
        <v>934.98958333333337</v>
      </c>
      <c r="S191" s="2">
        <f>Employee_Data[[#This Row],[Annual Salary]]/12</f>
        <v>7479.916666666667</v>
      </c>
    </row>
    <row r="192" spans="1:19" x14ac:dyDescent="0.3">
      <c r="A192" t="s">
        <v>463</v>
      </c>
      <c r="B192" t="s">
        <v>464</v>
      </c>
      <c r="C192" t="s">
        <v>101</v>
      </c>
      <c r="D192" t="s">
        <v>4</v>
      </c>
      <c r="E192" t="s">
        <v>36</v>
      </c>
      <c r="F192" t="s">
        <v>42</v>
      </c>
      <c r="G192" t="s">
        <v>24</v>
      </c>
      <c r="H192">
        <v>39</v>
      </c>
      <c r="I192" s="1">
        <v>42260</v>
      </c>
      <c r="J192" s="2">
        <v>78640</v>
      </c>
      <c r="K192" s="3">
        <v>0</v>
      </c>
      <c r="L192" t="s">
        <v>37</v>
      </c>
      <c r="M192" t="s">
        <v>57</v>
      </c>
      <c r="N192" s="2">
        <f>Employee_Data[[#This Row],[Basic Salary]]*10%</f>
        <v>655.33333333333337</v>
      </c>
      <c r="O192" s="4">
        <f>Employee_Data[[#This Row],[Basic Salary]]*7.5%</f>
        <v>491.49999999999994</v>
      </c>
      <c r="P192" s="2">
        <f>Employee_Data[[#This Row],[Basic Salary]]*3%</f>
        <v>196.6</v>
      </c>
      <c r="Q192" s="2">
        <f>SUM(Employee_Data[[#This Row],[Basic Salary]],Employee_Data[[#This Row],[HRA]],Employee_Data[[#This Row],[MA]],Employee_Data[[#This Row],[TA]])</f>
        <v>7896.7666666666664</v>
      </c>
      <c r="R192" s="4">
        <f>Employee_Data[[#This Row],[Basic Salary]]*12.5%</f>
        <v>819.16666666666663</v>
      </c>
      <c r="S192" s="2">
        <f>Employee_Data[[#This Row],[Annual Salary]]/12</f>
        <v>6553.333333333333</v>
      </c>
    </row>
    <row r="193" spans="1:19" x14ac:dyDescent="0.3">
      <c r="A193" t="s">
        <v>465</v>
      </c>
      <c r="B193" t="s">
        <v>466</v>
      </c>
      <c r="C193" t="s">
        <v>29</v>
      </c>
      <c r="D193" t="s">
        <v>61</v>
      </c>
      <c r="E193" t="s">
        <v>56</v>
      </c>
      <c r="F193" t="s">
        <v>42</v>
      </c>
      <c r="G193" t="s">
        <v>24</v>
      </c>
      <c r="H193">
        <v>51</v>
      </c>
      <c r="I193" s="1">
        <v>38363</v>
      </c>
      <c r="J193" s="2">
        <v>55368</v>
      </c>
      <c r="K193" s="3">
        <v>0</v>
      </c>
      <c r="L193" t="s">
        <v>25</v>
      </c>
      <c r="M193" t="s">
        <v>32</v>
      </c>
      <c r="N193" s="2">
        <f>Employee_Data[[#This Row],[Basic Salary]]*10%</f>
        <v>461.40000000000003</v>
      </c>
      <c r="O193" s="4">
        <f>Employee_Data[[#This Row],[Basic Salary]]*7.5%</f>
        <v>346.05</v>
      </c>
      <c r="P193" s="2">
        <f>Employee_Data[[#This Row],[Basic Salary]]*3%</f>
        <v>138.41999999999999</v>
      </c>
      <c r="Q193" s="2">
        <f>SUM(Employee_Data[[#This Row],[Basic Salary]],Employee_Data[[#This Row],[HRA]],Employee_Data[[#This Row],[MA]],Employee_Data[[#This Row],[TA]])</f>
        <v>5559.87</v>
      </c>
      <c r="R193" s="4">
        <f>Employee_Data[[#This Row],[Basic Salary]]*12.5%</f>
        <v>576.75</v>
      </c>
      <c r="S193" s="2">
        <f>Employee_Data[[#This Row],[Annual Salary]]/12</f>
        <v>4614</v>
      </c>
    </row>
    <row r="194" spans="1:19" x14ac:dyDescent="0.3">
      <c r="A194" t="s">
        <v>467</v>
      </c>
      <c r="B194" t="s">
        <v>468</v>
      </c>
      <c r="C194" t="s">
        <v>35</v>
      </c>
      <c r="D194" t="s">
        <v>4</v>
      </c>
      <c r="E194" t="s">
        <v>56</v>
      </c>
      <c r="F194" t="s">
        <v>42</v>
      </c>
      <c r="G194" t="s">
        <v>66</v>
      </c>
      <c r="H194">
        <v>49</v>
      </c>
      <c r="I194" s="1">
        <v>44339</v>
      </c>
      <c r="J194" s="2">
        <v>78164</v>
      </c>
      <c r="K194" s="3">
        <v>0</v>
      </c>
      <c r="L194" t="s">
        <v>25</v>
      </c>
      <c r="M194" t="s">
        <v>44</v>
      </c>
      <c r="N194" s="2">
        <f>Employee_Data[[#This Row],[Basic Salary]]*10%</f>
        <v>651.36666666666679</v>
      </c>
      <c r="O194" s="4">
        <f>Employee_Data[[#This Row],[Basic Salary]]*7.5%</f>
        <v>488.52499999999998</v>
      </c>
      <c r="P194" s="2">
        <f>Employee_Data[[#This Row],[Basic Salary]]*3%</f>
        <v>195.41</v>
      </c>
      <c r="Q194" s="2">
        <f>SUM(Employee_Data[[#This Row],[Basic Salary]],Employee_Data[[#This Row],[HRA]],Employee_Data[[#This Row],[MA]],Employee_Data[[#This Row],[TA]])</f>
        <v>7848.9683333333332</v>
      </c>
      <c r="R194" s="4">
        <f>Employee_Data[[#This Row],[Basic Salary]]*12.5%</f>
        <v>814.20833333333337</v>
      </c>
      <c r="S194" s="2">
        <f>Employee_Data[[#This Row],[Annual Salary]]/12</f>
        <v>6513.666666666667</v>
      </c>
    </row>
    <row r="195" spans="1:19" x14ac:dyDescent="0.3">
      <c r="A195" t="s">
        <v>469</v>
      </c>
      <c r="B195" t="s">
        <v>470</v>
      </c>
      <c r="C195" t="s">
        <v>54</v>
      </c>
      <c r="D195" t="s">
        <v>80</v>
      </c>
      <c r="E195" t="s">
        <v>36</v>
      </c>
      <c r="F195" t="s">
        <v>23</v>
      </c>
      <c r="G195" t="s">
        <v>24</v>
      </c>
      <c r="H195">
        <v>30</v>
      </c>
      <c r="I195" s="1">
        <v>43965</v>
      </c>
      <c r="J195" s="2">
        <v>76014</v>
      </c>
      <c r="K195" s="3">
        <v>0</v>
      </c>
      <c r="L195" t="s">
        <v>37</v>
      </c>
      <c r="M195" t="s">
        <v>62</v>
      </c>
      <c r="N195" s="2">
        <f>Employee_Data[[#This Row],[Basic Salary]]*10%</f>
        <v>633.45000000000005</v>
      </c>
      <c r="O195" s="4">
        <f>Employee_Data[[#This Row],[Basic Salary]]*7.5%</f>
        <v>475.08749999999998</v>
      </c>
      <c r="P195" s="2">
        <f>Employee_Data[[#This Row],[Basic Salary]]*3%</f>
        <v>190.035</v>
      </c>
      <c r="Q195" s="2">
        <f>SUM(Employee_Data[[#This Row],[Basic Salary]],Employee_Data[[#This Row],[HRA]],Employee_Data[[#This Row],[MA]],Employee_Data[[#This Row],[TA]])</f>
        <v>7633.0724999999993</v>
      </c>
      <c r="R195" s="4">
        <f>Employee_Data[[#This Row],[Basic Salary]]*12.5%</f>
        <v>791.8125</v>
      </c>
      <c r="S195" s="2">
        <f>Employee_Data[[#This Row],[Annual Salary]]/12</f>
        <v>6334.5</v>
      </c>
    </row>
    <row r="196" spans="1:19" x14ac:dyDescent="0.3">
      <c r="A196" t="s">
        <v>471</v>
      </c>
      <c r="B196" t="s">
        <v>472</v>
      </c>
      <c r="C196" t="s">
        <v>104</v>
      </c>
      <c r="D196" t="s">
        <v>30</v>
      </c>
      <c r="E196" t="s">
        <v>22</v>
      </c>
      <c r="F196" t="s">
        <v>42</v>
      </c>
      <c r="G196" t="s">
        <v>43</v>
      </c>
      <c r="H196">
        <v>41</v>
      </c>
      <c r="I196" s="1">
        <v>42321</v>
      </c>
      <c r="J196" s="2">
        <v>61403</v>
      </c>
      <c r="K196" s="3">
        <v>0</v>
      </c>
      <c r="L196" t="s">
        <v>25</v>
      </c>
      <c r="M196" t="s">
        <v>70</v>
      </c>
      <c r="N196" s="2">
        <f>Employee_Data[[#This Row],[Basic Salary]]*10%</f>
        <v>511.69166666666672</v>
      </c>
      <c r="O196" s="4">
        <f>Employee_Data[[#This Row],[Basic Salary]]*7.5%</f>
        <v>383.76875000000001</v>
      </c>
      <c r="P196" s="2">
        <f>Employee_Data[[#This Row],[Basic Salary]]*3%</f>
        <v>153.50749999999999</v>
      </c>
      <c r="Q196" s="2">
        <f>SUM(Employee_Data[[#This Row],[Basic Salary]],Employee_Data[[#This Row],[HRA]],Employee_Data[[#This Row],[MA]],Employee_Data[[#This Row],[TA]])</f>
        <v>6165.8845833333335</v>
      </c>
      <c r="R196" s="4">
        <f>Employee_Data[[#This Row],[Basic Salary]]*12.5%</f>
        <v>639.61458333333337</v>
      </c>
      <c r="S196" s="2">
        <f>Employee_Data[[#This Row],[Annual Salary]]/12</f>
        <v>5116.916666666667</v>
      </c>
    </row>
    <row r="197" spans="1:19" x14ac:dyDescent="0.3">
      <c r="A197" t="s">
        <v>473</v>
      </c>
      <c r="B197" t="s">
        <v>474</v>
      </c>
      <c r="C197" t="s">
        <v>101</v>
      </c>
      <c r="D197" t="s">
        <v>4</v>
      </c>
      <c r="E197" t="s">
        <v>36</v>
      </c>
      <c r="F197" t="s">
        <v>23</v>
      </c>
      <c r="G197" t="s">
        <v>84</v>
      </c>
      <c r="H197">
        <v>58</v>
      </c>
      <c r="I197" s="1">
        <v>40529</v>
      </c>
      <c r="J197" s="2">
        <v>80720</v>
      </c>
      <c r="K197" s="3">
        <v>0</v>
      </c>
      <c r="L197" t="s">
        <v>25</v>
      </c>
      <c r="M197" t="s">
        <v>26</v>
      </c>
      <c r="N197" s="2">
        <f>Employee_Data[[#This Row],[Basic Salary]]*10%</f>
        <v>672.66666666666674</v>
      </c>
      <c r="O197" s="4">
        <f>Employee_Data[[#This Row],[Basic Salary]]*7.5%</f>
        <v>504.5</v>
      </c>
      <c r="P197" s="2">
        <f>Employee_Data[[#This Row],[Basic Salary]]*3%</f>
        <v>201.8</v>
      </c>
      <c r="Q197" s="2">
        <f>SUM(Employee_Data[[#This Row],[Basic Salary]],Employee_Data[[#This Row],[HRA]],Employee_Data[[#This Row],[MA]],Employee_Data[[#This Row],[TA]])</f>
        <v>8105.6333333333341</v>
      </c>
      <c r="R197" s="4">
        <f>Employee_Data[[#This Row],[Basic Salary]]*12.5%</f>
        <v>840.83333333333337</v>
      </c>
      <c r="S197" s="2">
        <f>Employee_Data[[#This Row],[Annual Salary]]/12</f>
        <v>6726.666666666667</v>
      </c>
    </row>
    <row r="198" spans="1:19" x14ac:dyDescent="0.3">
      <c r="A198" t="s">
        <v>475</v>
      </c>
      <c r="B198" t="s">
        <v>476</v>
      </c>
      <c r="C198" t="s">
        <v>65</v>
      </c>
      <c r="D198" t="s">
        <v>4</v>
      </c>
      <c r="E198" t="s">
        <v>56</v>
      </c>
      <c r="F198" t="s">
        <v>23</v>
      </c>
      <c r="G198" t="s">
        <v>24</v>
      </c>
      <c r="H198">
        <v>55</v>
      </c>
      <c r="I198" s="1">
        <v>39809</v>
      </c>
      <c r="J198" s="2">
        <v>94026</v>
      </c>
      <c r="K198" s="3">
        <v>0</v>
      </c>
      <c r="L198" t="s">
        <v>37</v>
      </c>
      <c r="M198" t="s">
        <v>38</v>
      </c>
      <c r="N198" s="2">
        <f>Employee_Data[[#This Row],[Basic Salary]]*10%</f>
        <v>783.55000000000007</v>
      </c>
      <c r="O198" s="4">
        <f>Employee_Data[[#This Row],[Basic Salary]]*7.5%</f>
        <v>587.66250000000002</v>
      </c>
      <c r="P198" s="2">
        <f>Employee_Data[[#This Row],[Basic Salary]]*3%</f>
        <v>235.065</v>
      </c>
      <c r="Q198" s="2">
        <f>SUM(Employee_Data[[#This Row],[Basic Salary]],Employee_Data[[#This Row],[HRA]],Employee_Data[[#This Row],[MA]],Employee_Data[[#This Row],[TA]])</f>
        <v>9441.7775000000001</v>
      </c>
      <c r="R198" s="4">
        <f>Employee_Data[[#This Row],[Basic Salary]]*12.5%</f>
        <v>979.4375</v>
      </c>
      <c r="S198" s="2">
        <f>Employee_Data[[#This Row],[Annual Salary]]/12</f>
        <v>7835.5</v>
      </c>
    </row>
    <row r="199" spans="1:19" x14ac:dyDescent="0.3">
      <c r="A199" t="s">
        <v>477</v>
      </c>
      <c r="B199" t="s">
        <v>478</v>
      </c>
      <c r="C199" t="s">
        <v>29</v>
      </c>
      <c r="D199" t="s">
        <v>80</v>
      </c>
      <c r="E199" t="s">
        <v>36</v>
      </c>
      <c r="F199" t="s">
        <v>42</v>
      </c>
      <c r="G199" t="s">
        <v>24</v>
      </c>
      <c r="H199">
        <v>40</v>
      </c>
      <c r="I199" s="1">
        <v>42435</v>
      </c>
      <c r="J199" s="2">
        <v>56963</v>
      </c>
      <c r="K199" s="3">
        <v>0</v>
      </c>
      <c r="L199" t="s">
        <v>25</v>
      </c>
      <c r="M199" t="s">
        <v>32</v>
      </c>
      <c r="N199" s="2">
        <f>Employee_Data[[#This Row],[Basic Salary]]*10%</f>
        <v>474.69166666666672</v>
      </c>
      <c r="O199" s="4">
        <f>Employee_Data[[#This Row],[Basic Salary]]*7.5%</f>
        <v>356.01875000000001</v>
      </c>
      <c r="P199" s="2">
        <f>Employee_Data[[#This Row],[Basic Salary]]*3%</f>
        <v>142.4075</v>
      </c>
      <c r="Q199" s="2">
        <f>SUM(Employee_Data[[#This Row],[Basic Salary]],Employee_Data[[#This Row],[HRA]],Employee_Data[[#This Row],[MA]],Employee_Data[[#This Row],[TA]])</f>
        <v>5720.034583333334</v>
      </c>
      <c r="R199" s="4">
        <f>Employee_Data[[#This Row],[Basic Salary]]*12.5%</f>
        <v>593.36458333333337</v>
      </c>
      <c r="S199" s="2">
        <f>Employee_Data[[#This Row],[Annual Salary]]/12</f>
        <v>4746.916666666667</v>
      </c>
    </row>
    <row r="200" spans="1:19" x14ac:dyDescent="0.3">
      <c r="A200" t="s">
        <v>479</v>
      </c>
      <c r="B200" t="s">
        <v>480</v>
      </c>
      <c r="C200" t="s">
        <v>69</v>
      </c>
      <c r="D200" t="s">
        <v>61</v>
      </c>
      <c r="E200" t="s">
        <v>56</v>
      </c>
      <c r="F200" t="s">
        <v>23</v>
      </c>
      <c r="G200" t="s">
        <v>43</v>
      </c>
      <c r="H200">
        <v>41</v>
      </c>
      <c r="I200" s="1">
        <v>41647</v>
      </c>
      <c r="J200" s="2">
        <v>113246</v>
      </c>
      <c r="K200" s="3">
        <v>0.06</v>
      </c>
      <c r="L200" t="s">
        <v>25</v>
      </c>
      <c r="M200" t="s">
        <v>32</v>
      </c>
      <c r="N200" s="2">
        <f>Employee_Data[[#This Row],[Basic Salary]]*10%</f>
        <v>943.7166666666667</v>
      </c>
      <c r="O200" s="4">
        <f>Employee_Data[[#This Row],[Basic Salary]]*7.5%</f>
        <v>707.78749999999991</v>
      </c>
      <c r="P200" s="2">
        <f>Employee_Data[[#This Row],[Basic Salary]]*3%</f>
        <v>283.11499999999995</v>
      </c>
      <c r="Q200" s="2">
        <f>SUM(Employee_Data[[#This Row],[Basic Salary]],Employee_Data[[#This Row],[HRA]],Employee_Data[[#This Row],[MA]],Employee_Data[[#This Row],[TA]])</f>
        <v>11371.785833333333</v>
      </c>
      <c r="R200" s="4">
        <f>Employee_Data[[#This Row],[Basic Salary]]*12.5%</f>
        <v>1179.6458333333333</v>
      </c>
      <c r="S200" s="2">
        <f>Employee_Data[[#This Row],[Annual Salary]]/12</f>
        <v>9437.1666666666661</v>
      </c>
    </row>
    <row r="201" spans="1:19" x14ac:dyDescent="0.3">
      <c r="A201" t="s">
        <v>481</v>
      </c>
      <c r="B201" t="s">
        <v>482</v>
      </c>
      <c r="C201" t="s">
        <v>292</v>
      </c>
      <c r="D201" t="s">
        <v>21</v>
      </c>
      <c r="E201" t="s">
        <v>36</v>
      </c>
      <c r="F201" t="s">
        <v>23</v>
      </c>
      <c r="G201" t="s">
        <v>66</v>
      </c>
      <c r="H201">
        <v>45</v>
      </c>
      <c r="I201" s="1">
        <v>38573</v>
      </c>
      <c r="J201" s="2">
        <v>76416</v>
      </c>
      <c r="K201" s="3">
        <v>0</v>
      </c>
      <c r="L201" t="s">
        <v>25</v>
      </c>
      <c r="M201" t="s">
        <v>51</v>
      </c>
      <c r="N201" s="2">
        <f>Employee_Data[[#This Row],[Basic Salary]]*10%</f>
        <v>636.80000000000007</v>
      </c>
      <c r="O201" s="4">
        <f>Employee_Data[[#This Row],[Basic Salary]]*7.5%</f>
        <v>477.59999999999997</v>
      </c>
      <c r="P201" s="2">
        <f>Employee_Data[[#This Row],[Basic Salary]]*3%</f>
        <v>191.04</v>
      </c>
      <c r="Q201" s="2">
        <f>SUM(Employee_Data[[#This Row],[Basic Salary]],Employee_Data[[#This Row],[HRA]],Employee_Data[[#This Row],[MA]],Employee_Data[[#This Row],[TA]])</f>
        <v>7673.4400000000005</v>
      </c>
      <c r="R201" s="4">
        <f>Employee_Data[[#This Row],[Basic Salary]]*12.5%</f>
        <v>796</v>
      </c>
      <c r="S201" s="2">
        <f>Employee_Data[[#This Row],[Annual Salary]]/12</f>
        <v>6368</v>
      </c>
    </row>
    <row r="202" spans="1:19" x14ac:dyDescent="0.3">
      <c r="A202" t="s">
        <v>483</v>
      </c>
      <c r="B202" t="s">
        <v>484</v>
      </c>
      <c r="C202" t="s">
        <v>54</v>
      </c>
      <c r="D202" t="s">
        <v>55</v>
      </c>
      <c r="E202" t="s">
        <v>31</v>
      </c>
      <c r="F202" t="s">
        <v>23</v>
      </c>
      <c r="G202" t="s">
        <v>43</v>
      </c>
      <c r="H202">
        <v>57</v>
      </c>
      <c r="I202" s="1">
        <v>40272</v>
      </c>
      <c r="J202" s="2">
        <v>74597</v>
      </c>
      <c r="K202" s="3">
        <v>0</v>
      </c>
      <c r="L202" t="s">
        <v>25</v>
      </c>
      <c r="M202" t="s">
        <v>48</v>
      </c>
      <c r="N202" s="2">
        <f>Employee_Data[[#This Row],[Basic Salary]]*10%</f>
        <v>621.64166666666677</v>
      </c>
      <c r="O202" s="4">
        <f>Employee_Data[[#This Row],[Basic Salary]]*7.5%</f>
        <v>466.23124999999999</v>
      </c>
      <c r="P202" s="2">
        <f>Employee_Data[[#This Row],[Basic Salary]]*3%</f>
        <v>186.49250000000001</v>
      </c>
      <c r="Q202" s="2">
        <f>SUM(Employee_Data[[#This Row],[Basic Salary]],Employee_Data[[#This Row],[HRA]],Employee_Data[[#This Row],[MA]],Employee_Data[[#This Row],[TA]])</f>
        <v>7490.7820833333335</v>
      </c>
      <c r="R202" s="4">
        <f>Employee_Data[[#This Row],[Basic Salary]]*12.5%</f>
        <v>777.05208333333337</v>
      </c>
      <c r="S202" s="2">
        <f>Employee_Data[[#This Row],[Annual Salary]]/12</f>
        <v>6216.416666666667</v>
      </c>
    </row>
    <row r="203" spans="1:19" x14ac:dyDescent="0.3">
      <c r="A203" t="s">
        <v>485</v>
      </c>
      <c r="B203" t="s">
        <v>486</v>
      </c>
      <c r="C203" t="s">
        <v>47</v>
      </c>
      <c r="D203" t="s">
        <v>4</v>
      </c>
      <c r="E203" t="s">
        <v>22</v>
      </c>
      <c r="F203" t="s">
        <v>42</v>
      </c>
      <c r="G203" t="s">
        <v>66</v>
      </c>
      <c r="H203">
        <v>65</v>
      </c>
      <c r="I203" s="1">
        <v>35308</v>
      </c>
      <c r="J203" s="2">
        <v>164102</v>
      </c>
      <c r="K203" s="3">
        <v>0.3</v>
      </c>
      <c r="L203" t="s">
        <v>25</v>
      </c>
      <c r="M203" t="s">
        <v>26</v>
      </c>
      <c r="N203" s="2">
        <f>Employee_Data[[#This Row],[Basic Salary]]*10%</f>
        <v>1367.5166666666667</v>
      </c>
      <c r="O203" s="4">
        <f>Employee_Data[[#This Row],[Basic Salary]]*7.5%</f>
        <v>1025.6374999999998</v>
      </c>
      <c r="P203" s="2">
        <f>Employee_Data[[#This Row],[Basic Salary]]*3%</f>
        <v>410.25499999999994</v>
      </c>
      <c r="Q203" s="2">
        <f>SUM(Employee_Data[[#This Row],[Basic Salary]],Employee_Data[[#This Row],[HRA]],Employee_Data[[#This Row],[MA]],Employee_Data[[#This Row],[TA]])</f>
        <v>16478.575833333332</v>
      </c>
      <c r="R203" s="4">
        <f>Employee_Data[[#This Row],[Basic Salary]]*12.5%</f>
        <v>1709.3958333333333</v>
      </c>
      <c r="S203" s="2">
        <f>Employee_Data[[#This Row],[Annual Salary]]/12</f>
        <v>13675.166666666666</v>
      </c>
    </row>
    <row r="204" spans="1:19" x14ac:dyDescent="0.3">
      <c r="A204" t="s">
        <v>487</v>
      </c>
      <c r="B204" t="s">
        <v>488</v>
      </c>
      <c r="C204" t="s">
        <v>65</v>
      </c>
      <c r="D204" t="s">
        <v>4</v>
      </c>
      <c r="E204" t="s">
        <v>36</v>
      </c>
      <c r="F204" t="s">
        <v>42</v>
      </c>
      <c r="G204" t="s">
        <v>66</v>
      </c>
      <c r="H204">
        <v>44</v>
      </c>
      <c r="I204" s="1">
        <v>37668</v>
      </c>
      <c r="J204" s="2">
        <v>74431</v>
      </c>
      <c r="K204" s="3">
        <v>0</v>
      </c>
      <c r="L204" t="s">
        <v>25</v>
      </c>
      <c r="M204" t="s">
        <v>51</v>
      </c>
      <c r="N204" s="2">
        <f>Employee_Data[[#This Row],[Basic Salary]]*10%</f>
        <v>620.25833333333333</v>
      </c>
      <c r="O204" s="4">
        <f>Employee_Data[[#This Row],[Basic Salary]]*7.5%</f>
        <v>465.19374999999997</v>
      </c>
      <c r="P204" s="2">
        <f>Employee_Data[[#This Row],[Basic Salary]]*3%</f>
        <v>186.07749999999999</v>
      </c>
      <c r="Q204" s="2">
        <f>SUM(Employee_Data[[#This Row],[Basic Salary]],Employee_Data[[#This Row],[HRA]],Employee_Data[[#This Row],[MA]],Employee_Data[[#This Row],[TA]])</f>
        <v>7474.1129166666669</v>
      </c>
      <c r="R204" s="4">
        <f>Employee_Data[[#This Row],[Basic Salary]]*12.5%</f>
        <v>775.32291666666663</v>
      </c>
      <c r="S204" s="2">
        <f>Employee_Data[[#This Row],[Annual Salary]]/12</f>
        <v>6202.583333333333</v>
      </c>
    </row>
    <row r="205" spans="1:19" x14ac:dyDescent="0.3">
      <c r="A205" t="s">
        <v>489</v>
      </c>
      <c r="B205" t="s">
        <v>490</v>
      </c>
      <c r="C205" t="s">
        <v>29</v>
      </c>
      <c r="D205" t="s">
        <v>61</v>
      </c>
      <c r="E205" t="s">
        <v>56</v>
      </c>
      <c r="F205" t="s">
        <v>42</v>
      </c>
      <c r="G205" t="s">
        <v>43</v>
      </c>
      <c r="H205">
        <v>52</v>
      </c>
      <c r="I205" s="1">
        <v>41835</v>
      </c>
      <c r="J205" s="2">
        <v>43378</v>
      </c>
      <c r="K205" s="3">
        <v>0</v>
      </c>
      <c r="L205" t="s">
        <v>25</v>
      </c>
      <c r="M205" t="s">
        <v>70</v>
      </c>
      <c r="N205" s="2">
        <f>Employee_Data[[#This Row],[Basic Salary]]*10%</f>
        <v>361.48333333333335</v>
      </c>
      <c r="O205" s="4">
        <f>Employee_Data[[#This Row],[Basic Salary]]*7.5%</f>
        <v>271.11250000000001</v>
      </c>
      <c r="P205" s="2">
        <f>Employee_Data[[#This Row],[Basic Salary]]*3%</f>
        <v>108.44500000000001</v>
      </c>
      <c r="Q205" s="2">
        <f>SUM(Employee_Data[[#This Row],[Basic Salary]],Employee_Data[[#This Row],[HRA]],Employee_Data[[#This Row],[MA]],Employee_Data[[#This Row],[TA]])</f>
        <v>4355.8741666666665</v>
      </c>
      <c r="R205" s="4">
        <f>Employee_Data[[#This Row],[Basic Salary]]*12.5%</f>
        <v>451.85416666666669</v>
      </c>
      <c r="S205" s="2">
        <f>Employee_Data[[#This Row],[Annual Salary]]/12</f>
        <v>3614.8333333333335</v>
      </c>
    </row>
    <row r="206" spans="1:19" x14ac:dyDescent="0.3">
      <c r="A206" t="s">
        <v>491</v>
      </c>
      <c r="B206" t="s">
        <v>492</v>
      </c>
      <c r="C206" t="s">
        <v>29</v>
      </c>
      <c r="D206" t="s">
        <v>61</v>
      </c>
      <c r="E206" t="s">
        <v>31</v>
      </c>
      <c r="F206" t="s">
        <v>23</v>
      </c>
      <c r="G206" t="s">
        <v>24</v>
      </c>
      <c r="H206">
        <v>52</v>
      </c>
      <c r="I206" s="1">
        <v>37000</v>
      </c>
      <c r="J206" s="2">
        <v>47587</v>
      </c>
      <c r="K206" s="3">
        <v>0</v>
      </c>
      <c r="L206" t="s">
        <v>25</v>
      </c>
      <c r="M206" t="s">
        <v>32</v>
      </c>
      <c r="N206" s="2">
        <f>Employee_Data[[#This Row],[Basic Salary]]*10%</f>
        <v>396.55833333333339</v>
      </c>
      <c r="O206" s="4">
        <f>Employee_Data[[#This Row],[Basic Salary]]*7.5%</f>
        <v>297.41874999999999</v>
      </c>
      <c r="P206" s="2">
        <f>Employee_Data[[#This Row],[Basic Salary]]*3%</f>
        <v>118.9675</v>
      </c>
      <c r="Q206" s="2">
        <f>SUM(Employee_Data[[#This Row],[Basic Salary]],Employee_Data[[#This Row],[HRA]],Employee_Data[[#This Row],[MA]],Employee_Data[[#This Row],[TA]])</f>
        <v>4778.527916666666</v>
      </c>
      <c r="R206" s="4">
        <f>Employee_Data[[#This Row],[Basic Salary]]*12.5%</f>
        <v>495.69791666666669</v>
      </c>
      <c r="S206" s="2">
        <f>Employee_Data[[#This Row],[Annual Salary]]/12</f>
        <v>3965.5833333333335</v>
      </c>
    </row>
    <row r="207" spans="1:19" x14ac:dyDescent="0.3">
      <c r="A207" t="s">
        <v>493</v>
      </c>
      <c r="B207" t="s">
        <v>494</v>
      </c>
      <c r="C207" t="s">
        <v>47</v>
      </c>
      <c r="D207" t="s">
        <v>126</v>
      </c>
      <c r="E207" t="s">
        <v>56</v>
      </c>
      <c r="F207" t="s">
        <v>23</v>
      </c>
      <c r="G207" t="s">
        <v>43</v>
      </c>
      <c r="H207">
        <v>53</v>
      </c>
      <c r="I207" s="1">
        <v>37224</v>
      </c>
      <c r="J207" s="2">
        <v>179983</v>
      </c>
      <c r="K207" s="3">
        <v>0.16</v>
      </c>
      <c r="L207" t="s">
        <v>25</v>
      </c>
      <c r="M207" t="s">
        <v>51</v>
      </c>
      <c r="N207" s="2">
        <f>Employee_Data[[#This Row],[Basic Salary]]*10%</f>
        <v>1499.8583333333336</v>
      </c>
      <c r="O207" s="4">
        <f>Employee_Data[[#This Row],[Basic Salary]]*7.5%</f>
        <v>1124.89375</v>
      </c>
      <c r="P207" s="2">
        <f>Employee_Data[[#This Row],[Basic Salary]]*3%</f>
        <v>449.95749999999998</v>
      </c>
      <c r="Q207" s="2">
        <f>SUM(Employee_Data[[#This Row],[Basic Salary]],Employee_Data[[#This Row],[HRA]],Employee_Data[[#This Row],[MA]],Employee_Data[[#This Row],[TA]])</f>
        <v>18073.292916666665</v>
      </c>
      <c r="R207" s="4">
        <f>Employee_Data[[#This Row],[Basic Salary]]*12.5%</f>
        <v>1874.8229166666667</v>
      </c>
      <c r="S207" s="2">
        <f>Employee_Data[[#This Row],[Annual Salary]]/12</f>
        <v>14998.583333333334</v>
      </c>
    </row>
    <row r="208" spans="1:19" x14ac:dyDescent="0.3">
      <c r="A208" t="s">
        <v>495</v>
      </c>
      <c r="B208" t="s">
        <v>496</v>
      </c>
      <c r="C208" t="s">
        <v>69</v>
      </c>
      <c r="D208" t="s">
        <v>80</v>
      </c>
      <c r="E208" t="s">
        <v>36</v>
      </c>
      <c r="F208" t="s">
        <v>23</v>
      </c>
      <c r="G208" t="s">
        <v>24</v>
      </c>
      <c r="H208">
        <v>31</v>
      </c>
      <c r="I208" s="1">
        <v>44528</v>
      </c>
      <c r="J208" s="2">
        <v>115565</v>
      </c>
      <c r="K208" s="3">
        <v>0.06</v>
      </c>
      <c r="L208" t="s">
        <v>25</v>
      </c>
      <c r="M208" t="s">
        <v>51</v>
      </c>
      <c r="N208" s="2">
        <f>Employee_Data[[#This Row],[Basic Salary]]*10%</f>
        <v>963.04166666666663</v>
      </c>
      <c r="O208" s="4">
        <f>Employee_Data[[#This Row],[Basic Salary]]*7.5%</f>
        <v>722.28124999999989</v>
      </c>
      <c r="P208" s="2">
        <f>Employee_Data[[#This Row],[Basic Salary]]*3%</f>
        <v>288.91249999999997</v>
      </c>
      <c r="Q208" s="2">
        <f>SUM(Employee_Data[[#This Row],[Basic Salary]],Employee_Data[[#This Row],[HRA]],Employee_Data[[#This Row],[MA]],Employee_Data[[#This Row],[TA]])</f>
        <v>11604.652083333332</v>
      </c>
      <c r="R208" s="4">
        <f>Employee_Data[[#This Row],[Basic Salary]]*12.5%</f>
        <v>1203.8020833333333</v>
      </c>
      <c r="S208" s="2">
        <f>Employee_Data[[#This Row],[Annual Salary]]/12</f>
        <v>9630.4166666666661</v>
      </c>
    </row>
    <row r="209" spans="1:19" x14ac:dyDescent="0.3">
      <c r="A209" t="s">
        <v>497</v>
      </c>
      <c r="B209" t="s">
        <v>498</v>
      </c>
      <c r="C209" t="s">
        <v>69</v>
      </c>
      <c r="D209" t="s">
        <v>61</v>
      </c>
      <c r="E209" t="s">
        <v>22</v>
      </c>
      <c r="F209" t="s">
        <v>42</v>
      </c>
      <c r="G209" t="s">
        <v>43</v>
      </c>
      <c r="H209">
        <v>63</v>
      </c>
      <c r="I209" s="1">
        <v>42988</v>
      </c>
      <c r="J209" s="2">
        <v>126064</v>
      </c>
      <c r="K209" s="3">
        <v>0.05</v>
      </c>
      <c r="L209" t="s">
        <v>25</v>
      </c>
      <c r="M209" t="s">
        <v>70</v>
      </c>
      <c r="N209" s="2">
        <f>Employee_Data[[#This Row],[Basic Salary]]*10%</f>
        <v>1050.5333333333335</v>
      </c>
      <c r="O209" s="4">
        <f>Employee_Data[[#This Row],[Basic Salary]]*7.5%</f>
        <v>787.9</v>
      </c>
      <c r="P209" s="2">
        <f>Employee_Data[[#This Row],[Basic Salary]]*3%</f>
        <v>315.16000000000003</v>
      </c>
      <c r="Q209" s="2">
        <f>SUM(Employee_Data[[#This Row],[Basic Salary]],Employee_Data[[#This Row],[HRA]],Employee_Data[[#This Row],[MA]],Employee_Data[[#This Row],[TA]])</f>
        <v>12658.926666666666</v>
      </c>
      <c r="R209" s="4">
        <f>Employee_Data[[#This Row],[Basic Salary]]*12.5%</f>
        <v>1313.1666666666667</v>
      </c>
      <c r="S209" s="2">
        <f>Employee_Data[[#This Row],[Annual Salary]]/12</f>
        <v>10505.333333333334</v>
      </c>
    </row>
    <row r="210" spans="1:19" x14ac:dyDescent="0.3">
      <c r="A210" t="s">
        <v>499</v>
      </c>
      <c r="B210" t="s">
        <v>500</v>
      </c>
      <c r="C210" t="s">
        <v>83</v>
      </c>
      <c r="D210" t="s">
        <v>126</v>
      </c>
      <c r="E210" t="s">
        <v>56</v>
      </c>
      <c r="F210" t="s">
        <v>42</v>
      </c>
      <c r="G210" t="s">
        <v>84</v>
      </c>
      <c r="H210">
        <v>39</v>
      </c>
      <c r="I210" s="1">
        <v>41292</v>
      </c>
      <c r="J210" s="2">
        <v>151666</v>
      </c>
      <c r="K210" s="3">
        <v>0.13</v>
      </c>
      <c r="L210" t="s">
        <v>25</v>
      </c>
      <c r="M210" t="s">
        <v>32</v>
      </c>
      <c r="N210" s="2">
        <f>Employee_Data[[#This Row],[Basic Salary]]*10%</f>
        <v>1263.8833333333334</v>
      </c>
      <c r="O210" s="4">
        <f>Employee_Data[[#This Row],[Basic Salary]]*7.5%</f>
        <v>947.91250000000002</v>
      </c>
      <c r="P210" s="2">
        <f>Employee_Data[[#This Row],[Basic Salary]]*3%</f>
        <v>379.16500000000002</v>
      </c>
      <c r="Q210" s="2">
        <f>SUM(Employee_Data[[#This Row],[Basic Salary]],Employee_Data[[#This Row],[HRA]],Employee_Data[[#This Row],[MA]],Employee_Data[[#This Row],[TA]])</f>
        <v>15229.794166666668</v>
      </c>
      <c r="R210" s="4">
        <f>Employee_Data[[#This Row],[Basic Salary]]*12.5%</f>
        <v>1579.8541666666667</v>
      </c>
      <c r="S210" s="2">
        <f>Employee_Data[[#This Row],[Annual Salary]]/12</f>
        <v>12638.833333333334</v>
      </c>
    </row>
    <row r="211" spans="1:19" x14ac:dyDescent="0.3">
      <c r="A211" t="s">
        <v>501</v>
      </c>
      <c r="B211" t="s">
        <v>502</v>
      </c>
      <c r="C211" t="s">
        <v>94</v>
      </c>
      <c r="D211" t="s">
        <v>4</v>
      </c>
      <c r="E211" t="s">
        <v>56</v>
      </c>
      <c r="F211" t="s">
        <v>23</v>
      </c>
      <c r="G211" t="s">
        <v>66</v>
      </c>
      <c r="H211">
        <v>63</v>
      </c>
      <c r="I211" s="1">
        <v>36627</v>
      </c>
      <c r="J211" s="2">
        <v>99215</v>
      </c>
      <c r="K211" s="3">
        <v>0</v>
      </c>
      <c r="L211" t="s">
        <v>25</v>
      </c>
      <c r="M211" t="s">
        <v>44</v>
      </c>
      <c r="N211" s="2">
        <f>Employee_Data[[#This Row],[Basic Salary]]*10%</f>
        <v>826.79166666666663</v>
      </c>
      <c r="O211" s="4">
        <f>Employee_Data[[#This Row],[Basic Salary]]*7.5%</f>
        <v>620.09374999999989</v>
      </c>
      <c r="P211" s="2">
        <f>Employee_Data[[#This Row],[Basic Salary]]*3%</f>
        <v>248.03749999999997</v>
      </c>
      <c r="Q211" s="2">
        <f>SUM(Employee_Data[[#This Row],[Basic Salary]],Employee_Data[[#This Row],[HRA]],Employee_Data[[#This Row],[MA]],Employee_Data[[#This Row],[TA]])</f>
        <v>9962.8395833333325</v>
      </c>
      <c r="R211" s="4">
        <f>Employee_Data[[#This Row],[Basic Salary]]*12.5%</f>
        <v>1033.4895833333333</v>
      </c>
      <c r="S211" s="2">
        <f>Employee_Data[[#This Row],[Annual Salary]]/12</f>
        <v>8267.9166666666661</v>
      </c>
    </row>
    <row r="212" spans="1:19" x14ac:dyDescent="0.3">
      <c r="A212" t="s">
        <v>503</v>
      </c>
      <c r="B212" t="s">
        <v>504</v>
      </c>
      <c r="C212" t="s">
        <v>164</v>
      </c>
      <c r="D212" t="s">
        <v>4</v>
      </c>
      <c r="E212" t="s">
        <v>22</v>
      </c>
      <c r="F212" t="s">
        <v>23</v>
      </c>
      <c r="G212" t="s">
        <v>24</v>
      </c>
      <c r="H212">
        <v>27</v>
      </c>
      <c r="I212" s="1">
        <v>44066</v>
      </c>
      <c r="J212" s="2">
        <v>71502</v>
      </c>
      <c r="K212" s="3">
        <v>0</v>
      </c>
      <c r="L212" t="s">
        <v>37</v>
      </c>
      <c r="M212" t="s">
        <v>57</v>
      </c>
      <c r="N212" s="2">
        <f>Employee_Data[[#This Row],[Basic Salary]]*10%</f>
        <v>595.85</v>
      </c>
      <c r="O212" s="4">
        <f>Employee_Data[[#This Row],[Basic Salary]]*7.5%</f>
        <v>446.88749999999999</v>
      </c>
      <c r="P212" s="2">
        <f>Employee_Data[[#This Row],[Basic Salary]]*3%</f>
        <v>178.755</v>
      </c>
      <c r="Q212" s="2">
        <f>SUM(Employee_Data[[#This Row],[Basic Salary]],Employee_Data[[#This Row],[HRA]],Employee_Data[[#This Row],[MA]],Employee_Data[[#This Row],[TA]])</f>
        <v>7179.9925000000003</v>
      </c>
      <c r="R212" s="4">
        <f>Employee_Data[[#This Row],[Basic Salary]]*12.5%</f>
        <v>744.8125</v>
      </c>
      <c r="S212" s="2">
        <f>Employee_Data[[#This Row],[Annual Salary]]/12</f>
        <v>5958.5</v>
      </c>
    </row>
    <row r="213" spans="1:19" x14ac:dyDescent="0.3">
      <c r="A213" t="s">
        <v>505</v>
      </c>
      <c r="B213" t="s">
        <v>506</v>
      </c>
      <c r="C213" t="s">
        <v>47</v>
      </c>
      <c r="D213" t="s">
        <v>30</v>
      </c>
      <c r="E213" t="s">
        <v>31</v>
      </c>
      <c r="F213" t="s">
        <v>42</v>
      </c>
      <c r="G213" t="s">
        <v>43</v>
      </c>
      <c r="H213">
        <v>30</v>
      </c>
      <c r="I213" s="1">
        <v>44883</v>
      </c>
      <c r="J213" s="2">
        <v>168050</v>
      </c>
      <c r="K213" s="3">
        <v>0.24</v>
      </c>
      <c r="L213" t="s">
        <v>137</v>
      </c>
      <c r="M213" t="s">
        <v>289</v>
      </c>
      <c r="N213" s="2">
        <f>Employee_Data[[#This Row],[Basic Salary]]*10%</f>
        <v>1400.4166666666667</v>
      </c>
      <c r="O213" s="4">
        <f>Employee_Data[[#This Row],[Basic Salary]]*7.5%</f>
        <v>1050.3125</v>
      </c>
      <c r="P213" s="2">
        <f>Employee_Data[[#This Row],[Basic Salary]]*3%</f>
        <v>420.12499999999994</v>
      </c>
      <c r="Q213" s="2">
        <f>SUM(Employee_Data[[#This Row],[Basic Salary]],Employee_Data[[#This Row],[HRA]],Employee_Data[[#This Row],[MA]],Employee_Data[[#This Row],[TA]])</f>
        <v>16875.020833333332</v>
      </c>
      <c r="R213" s="4">
        <f>Employee_Data[[#This Row],[Basic Salary]]*12.5%</f>
        <v>1750.5208333333333</v>
      </c>
      <c r="S213" s="2">
        <f>Employee_Data[[#This Row],[Annual Salary]]/12</f>
        <v>14004.166666666666</v>
      </c>
    </row>
    <row r="214" spans="1:19" x14ac:dyDescent="0.3">
      <c r="A214" t="s">
        <v>507</v>
      </c>
      <c r="B214" t="s">
        <v>508</v>
      </c>
      <c r="C214" t="s">
        <v>83</v>
      </c>
      <c r="D214" t="s">
        <v>30</v>
      </c>
      <c r="E214" t="s">
        <v>56</v>
      </c>
      <c r="F214" t="s">
        <v>42</v>
      </c>
      <c r="G214" t="s">
        <v>66</v>
      </c>
      <c r="H214">
        <v>51</v>
      </c>
      <c r="I214" s="1">
        <v>37932</v>
      </c>
      <c r="J214" s="2">
        <v>130862</v>
      </c>
      <c r="K214" s="3">
        <v>0.12</v>
      </c>
      <c r="L214" t="s">
        <v>25</v>
      </c>
      <c r="M214" t="s">
        <v>44</v>
      </c>
      <c r="N214" s="2">
        <f>Employee_Data[[#This Row],[Basic Salary]]*10%</f>
        <v>1090.5166666666667</v>
      </c>
      <c r="O214" s="4">
        <f>Employee_Data[[#This Row],[Basic Salary]]*7.5%</f>
        <v>817.88749999999993</v>
      </c>
      <c r="P214" s="2">
        <f>Employee_Data[[#This Row],[Basic Salary]]*3%</f>
        <v>327.15499999999997</v>
      </c>
      <c r="Q214" s="2">
        <f>SUM(Employee_Data[[#This Row],[Basic Salary]],Employee_Data[[#This Row],[HRA]],Employee_Data[[#This Row],[MA]],Employee_Data[[#This Row],[TA]])</f>
        <v>13140.725833333334</v>
      </c>
      <c r="R214" s="4">
        <f>Employee_Data[[#This Row],[Basic Salary]]*12.5%</f>
        <v>1363.1458333333333</v>
      </c>
      <c r="S214" s="2">
        <f>Employee_Data[[#This Row],[Annual Salary]]/12</f>
        <v>10905.166666666666</v>
      </c>
    </row>
    <row r="215" spans="1:19" x14ac:dyDescent="0.3">
      <c r="A215" t="s">
        <v>509</v>
      </c>
      <c r="B215" t="s">
        <v>510</v>
      </c>
      <c r="C215" t="s">
        <v>173</v>
      </c>
      <c r="D215" t="s">
        <v>4</v>
      </c>
      <c r="E215" t="s">
        <v>36</v>
      </c>
      <c r="F215" t="s">
        <v>23</v>
      </c>
      <c r="G215" t="s">
        <v>24</v>
      </c>
      <c r="H215">
        <v>58</v>
      </c>
      <c r="I215" s="1">
        <v>44458</v>
      </c>
      <c r="J215" s="2">
        <v>85716</v>
      </c>
      <c r="K215" s="3">
        <v>0</v>
      </c>
      <c r="L215" t="s">
        <v>37</v>
      </c>
      <c r="M215" t="s">
        <v>57</v>
      </c>
      <c r="N215" s="2">
        <f>Employee_Data[[#This Row],[Basic Salary]]*10%</f>
        <v>714.30000000000007</v>
      </c>
      <c r="O215" s="4">
        <f>Employee_Data[[#This Row],[Basic Salary]]*7.5%</f>
        <v>535.72500000000002</v>
      </c>
      <c r="P215" s="2">
        <f>Employee_Data[[#This Row],[Basic Salary]]*3%</f>
        <v>214.29</v>
      </c>
      <c r="Q215" s="2">
        <f>SUM(Employee_Data[[#This Row],[Basic Salary]],Employee_Data[[#This Row],[HRA]],Employee_Data[[#This Row],[MA]],Employee_Data[[#This Row],[TA]])</f>
        <v>8607.3150000000005</v>
      </c>
      <c r="R215" s="4">
        <f>Employee_Data[[#This Row],[Basic Salary]]*12.5%</f>
        <v>892.875</v>
      </c>
      <c r="S215" s="2">
        <f>Employee_Data[[#This Row],[Annual Salary]]/12</f>
        <v>7143</v>
      </c>
    </row>
    <row r="216" spans="1:19" x14ac:dyDescent="0.3">
      <c r="A216" t="s">
        <v>511</v>
      </c>
      <c r="B216" t="s">
        <v>512</v>
      </c>
      <c r="C216" t="s">
        <v>47</v>
      </c>
      <c r="D216" t="s">
        <v>61</v>
      </c>
      <c r="E216" t="s">
        <v>31</v>
      </c>
      <c r="F216" t="s">
        <v>42</v>
      </c>
      <c r="G216" t="s">
        <v>43</v>
      </c>
      <c r="H216">
        <v>62</v>
      </c>
      <c r="I216" s="1">
        <v>40754</v>
      </c>
      <c r="J216" s="2">
        <v>185026</v>
      </c>
      <c r="K216" s="3">
        <v>0.24</v>
      </c>
      <c r="L216" t="s">
        <v>137</v>
      </c>
      <c r="M216" t="s">
        <v>289</v>
      </c>
      <c r="N216" s="2">
        <f>Employee_Data[[#This Row],[Basic Salary]]*10%</f>
        <v>1541.8833333333334</v>
      </c>
      <c r="O216" s="4">
        <f>Employee_Data[[#This Row],[Basic Salary]]*7.5%</f>
        <v>1156.4124999999999</v>
      </c>
      <c r="P216" s="2">
        <f>Employee_Data[[#This Row],[Basic Salary]]*3%</f>
        <v>462.565</v>
      </c>
      <c r="Q216" s="2">
        <f>SUM(Employee_Data[[#This Row],[Basic Salary]],Employee_Data[[#This Row],[HRA]],Employee_Data[[#This Row],[MA]],Employee_Data[[#This Row],[TA]])</f>
        <v>18579.694166666664</v>
      </c>
      <c r="R216" s="4">
        <f>Employee_Data[[#This Row],[Basic Salary]]*12.5%</f>
        <v>1927.3541666666667</v>
      </c>
      <c r="S216" s="2">
        <f>Employee_Data[[#This Row],[Annual Salary]]/12</f>
        <v>15418.833333333334</v>
      </c>
    </row>
    <row r="217" spans="1:19" x14ac:dyDescent="0.3">
      <c r="A217" t="s">
        <v>513</v>
      </c>
      <c r="B217" t="s">
        <v>514</v>
      </c>
      <c r="C217" t="s">
        <v>89</v>
      </c>
      <c r="D217" t="s">
        <v>30</v>
      </c>
      <c r="E217" t="s">
        <v>22</v>
      </c>
      <c r="F217" t="s">
        <v>42</v>
      </c>
      <c r="G217" t="s">
        <v>43</v>
      </c>
      <c r="H217">
        <v>27</v>
      </c>
      <c r="I217" s="1">
        <v>44539</v>
      </c>
      <c r="J217" s="2">
        <v>182403</v>
      </c>
      <c r="K217" s="3">
        <v>0.3</v>
      </c>
      <c r="L217" t="s">
        <v>137</v>
      </c>
      <c r="M217" t="s">
        <v>183</v>
      </c>
      <c r="N217" s="2">
        <f>Employee_Data[[#This Row],[Basic Salary]]*10%</f>
        <v>1520.0250000000001</v>
      </c>
      <c r="O217" s="4">
        <f>Employee_Data[[#This Row],[Basic Salary]]*7.5%</f>
        <v>1140.01875</v>
      </c>
      <c r="P217" s="2">
        <f>Employee_Data[[#This Row],[Basic Salary]]*3%</f>
        <v>456.00749999999999</v>
      </c>
      <c r="Q217" s="2">
        <f>SUM(Employee_Data[[#This Row],[Basic Salary]],Employee_Data[[#This Row],[HRA]],Employee_Data[[#This Row],[MA]],Employee_Data[[#This Row],[TA]])</f>
        <v>18316.30125</v>
      </c>
      <c r="R217" s="4">
        <f>Employee_Data[[#This Row],[Basic Salary]]*12.5%</f>
        <v>1900.03125</v>
      </c>
      <c r="S217" s="2">
        <f>Employee_Data[[#This Row],[Annual Salary]]/12</f>
        <v>15200.25</v>
      </c>
    </row>
    <row r="218" spans="1:19" x14ac:dyDescent="0.3">
      <c r="A218" t="s">
        <v>515</v>
      </c>
      <c r="B218" t="s">
        <v>516</v>
      </c>
      <c r="C218" t="s">
        <v>89</v>
      </c>
      <c r="D218" t="s">
        <v>55</v>
      </c>
      <c r="E218" t="s">
        <v>31</v>
      </c>
      <c r="F218" t="s">
        <v>42</v>
      </c>
      <c r="G218" t="s">
        <v>24</v>
      </c>
      <c r="H218">
        <v>63</v>
      </c>
      <c r="I218" s="1">
        <v>38211</v>
      </c>
      <c r="J218" s="2">
        <v>193531</v>
      </c>
      <c r="K218" s="3">
        <v>0.4</v>
      </c>
      <c r="L218" t="s">
        <v>37</v>
      </c>
      <c r="M218" t="s">
        <v>38</v>
      </c>
      <c r="N218" s="2">
        <f>Employee_Data[[#This Row],[Basic Salary]]*10%</f>
        <v>1612.7583333333334</v>
      </c>
      <c r="O218" s="4">
        <f>Employee_Data[[#This Row],[Basic Salary]]*7.5%</f>
        <v>1209.5687499999999</v>
      </c>
      <c r="P218" s="2">
        <f>Employee_Data[[#This Row],[Basic Salary]]*3%</f>
        <v>483.82749999999999</v>
      </c>
      <c r="Q218" s="2">
        <f>SUM(Employee_Data[[#This Row],[Basic Salary]],Employee_Data[[#This Row],[HRA]],Employee_Data[[#This Row],[MA]],Employee_Data[[#This Row],[TA]])</f>
        <v>19433.737916666665</v>
      </c>
      <c r="R218" s="4">
        <f>Employee_Data[[#This Row],[Basic Salary]]*12.5%</f>
        <v>2015.9479166666667</v>
      </c>
      <c r="S218" s="2">
        <f>Employee_Data[[#This Row],[Annual Salary]]/12</f>
        <v>16127.583333333334</v>
      </c>
    </row>
    <row r="219" spans="1:19" x14ac:dyDescent="0.3">
      <c r="A219" t="s">
        <v>517</v>
      </c>
      <c r="B219" t="s">
        <v>518</v>
      </c>
      <c r="C219" t="s">
        <v>69</v>
      </c>
      <c r="D219" t="s">
        <v>4</v>
      </c>
      <c r="E219" t="s">
        <v>36</v>
      </c>
      <c r="F219" t="s">
        <v>42</v>
      </c>
      <c r="G219" t="s">
        <v>24</v>
      </c>
      <c r="H219">
        <v>52</v>
      </c>
      <c r="I219" s="1">
        <v>41345</v>
      </c>
      <c r="J219" s="2">
        <v>128301</v>
      </c>
      <c r="K219" s="3">
        <v>0.06</v>
      </c>
      <c r="L219" t="s">
        <v>37</v>
      </c>
      <c r="M219" t="s">
        <v>111</v>
      </c>
      <c r="N219" s="2">
        <f>Employee_Data[[#This Row],[Basic Salary]]*10%</f>
        <v>1069.175</v>
      </c>
      <c r="O219" s="4">
        <f>Employee_Data[[#This Row],[Basic Salary]]*7.5%</f>
        <v>801.88125000000002</v>
      </c>
      <c r="P219" s="2">
        <f>Employee_Data[[#This Row],[Basic Salary]]*3%</f>
        <v>320.7525</v>
      </c>
      <c r="Q219" s="2">
        <f>SUM(Employee_Data[[#This Row],[Basic Salary]],Employee_Data[[#This Row],[HRA]],Employee_Data[[#This Row],[MA]],Employee_Data[[#This Row],[TA]])</f>
        <v>12883.55875</v>
      </c>
      <c r="R219" s="4">
        <f>Employee_Data[[#This Row],[Basic Salary]]*12.5%</f>
        <v>1336.46875</v>
      </c>
      <c r="S219" s="2">
        <f>Employee_Data[[#This Row],[Annual Salary]]/12</f>
        <v>10691.75</v>
      </c>
    </row>
    <row r="220" spans="1:19" x14ac:dyDescent="0.3">
      <c r="A220" t="s">
        <v>519</v>
      </c>
      <c r="B220" t="s">
        <v>520</v>
      </c>
      <c r="C220" t="s">
        <v>29</v>
      </c>
      <c r="D220" t="s">
        <v>61</v>
      </c>
      <c r="E220" t="s">
        <v>22</v>
      </c>
      <c r="F220" t="s">
        <v>23</v>
      </c>
      <c r="G220" t="s">
        <v>43</v>
      </c>
      <c r="H220">
        <v>36</v>
      </c>
      <c r="I220" s="1">
        <v>43747</v>
      </c>
      <c r="J220" s="2">
        <v>51669</v>
      </c>
      <c r="K220" s="3">
        <v>0</v>
      </c>
      <c r="L220" t="s">
        <v>137</v>
      </c>
      <c r="M220" t="s">
        <v>138</v>
      </c>
      <c r="N220" s="2">
        <f>Employee_Data[[#This Row],[Basic Salary]]*10%</f>
        <v>430.57500000000005</v>
      </c>
      <c r="O220" s="4">
        <f>Employee_Data[[#This Row],[Basic Salary]]*7.5%</f>
        <v>322.93124999999998</v>
      </c>
      <c r="P220" s="2">
        <f>Employee_Data[[#This Row],[Basic Salary]]*3%</f>
        <v>129.17249999999999</v>
      </c>
      <c r="Q220" s="2">
        <f>SUM(Employee_Data[[#This Row],[Basic Salary]],Employee_Data[[#This Row],[HRA]],Employee_Data[[#This Row],[MA]],Employee_Data[[#This Row],[TA]])</f>
        <v>5188.4287499999991</v>
      </c>
      <c r="R220" s="4">
        <f>Employee_Data[[#This Row],[Basic Salary]]*12.5%</f>
        <v>538.21875</v>
      </c>
      <c r="S220" s="2">
        <f>Employee_Data[[#This Row],[Annual Salary]]/12</f>
        <v>4305.75</v>
      </c>
    </row>
    <row r="221" spans="1:19" x14ac:dyDescent="0.3">
      <c r="A221" t="s">
        <v>521</v>
      </c>
      <c r="B221" t="s">
        <v>522</v>
      </c>
      <c r="C221" t="s">
        <v>198</v>
      </c>
      <c r="D221" t="s">
        <v>21</v>
      </c>
      <c r="E221" t="s">
        <v>36</v>
      </c>
      <c r="F221" t="s">
        <v>42</v>
      </c>
      <c r="G221" t="s">
        <v>24</v>
      </c>
      <c r="H221">
        <v>47</v>
      </c>
      <c r="I221" s="1">
        <v>36917</v>
      </c>
      <c r="J221" s="2">
        <v>104289</v>
      </c>
      <c r="K221" s="3">
        <v>0</v>
      </c>
      <c r="L221" t="s">
        <v>25</v>
      </c>
      <c r="M221" t="s">
        <v>44</v>
      </c>
      <c r="N221" s="2">
        <f>Employee_Data[[#This Row],[Basic Salary]]*10%</f>
        <v>869.07500000000005</v>
      </c>
      <c r="O221" s="4">
        <f>Employee_Data[[#This Row],[Basic Salary]]*7.5%</f>
        <v>651.80624999999998</v>
      </c>
      <c r="P221" s="2">
        <f>Employee_Data[[#This Row],[Basic Salary]]*3%</f>
        <v>260.72249999999997</v>
      </c>
      <c r="Q221" s="2">
        <f>SUM(Employee_Data[[#This Row],[Basic Salary]],Employee_Data[[#This Row],[HRA]],Employee_Data[[#This Row],[MA]],Employee_Data[[#This Row],[TA]])</f>
        <v>10472.35375</v>
      </c>
      <c r="R221" s="4">
        <f>Employee_Data[[#This Row],[Basic Salary]]*12.5%</f>
        <v>1086.34375</v>
      </c>
      <c r="S221" s="2">
        <f>Employee_Data[[#This Row],[Annual Salary]]/12</f>
        <v>8690.75</v>
      </c>
    </row>
    <row r="222" spans="1:19" x14ac:dyDescent="0.3">
      <c r="A222" t="s">
        <v>523</v>
      </c>
      <c r="B222" t="s">
        <v>524</v>
      </c>
      <c r="C222" t="s">
        <v>164</v>
      </c>
      <c r="D222" t="s">
        <v>4</v>
      </c>
      <c r="E222" t="s">
        <v>56</v>
      </c>
      <c r="F222" t="s">
        <v>23</v>
      </c>
      <c r="G222" t="s">
        <v>66</v>
      </c>
      <c r="H222">
        <v>27</v>
      </c>
      <c r="I222" s="1">
        <v>44276</v>
      </c>
      <c r="J222" s="2">
        <v>70181</v>
      </c>
      <c r="K222" s="3">
        <v>0</v>
      </c>
      <c r="L222" t="s">
        <v>25</v>
      </c>
      <c r="M222" t="s">
        <v>51</v>
      </c>
      <c r="N222" s="2">
        <f>Employee_Data[[#This Row],[Basic Salary]]*10%</f>
        <v>584.8416666666667</v>
      </c>
      <c r="O222" s="4">
        <f>Employee_Data[[#This Row],[Basic Salary]]*7.5%</f>
        <v>438.63125000000002</v>
      </c>
      <c r="P222" s="2">
        <f>Employee_Data[[#This Row],[Basic Salary]]*3%</f>
        <v>175.45250000000001</v>
      </c>
      <c r="Q222" s="2">
        <f>SUM(Employee_Data[[#This Row],[Basic Salary]],Employee_Data[[#This Row],[HRA]],Employee_Data[[#This Row],[MA]],Employee_Data[[#This Row],[TA]])</f>
        <v>7047.3420833333339</v>
      </c>
      <c r="R222" s="4">
        <f>Employee_Data[[#This Row],[Basic Salary]]*12.5%</f>
        <v>731.05208333333337</v>
      </c>
      <c r="S222" s="2">
        <f>Employee_Data[[#This Row],[Annual Salary]]/12</f>
        <v>5848.416666666667</v>
      </c>
    </row>
    <row r="223" spans="1:19" x14ac:dyDescent="0.3">
      <c r="A223" t="s">
        <v>525</v>
      </c>
      <c r="B223" t="s">
        <v>526</v>
      </c>
      <c r="C223" t="s">
        <v>180</v>
      </c>
      <c r="D223" t="s">
        <v>4</v>
      </c>
      <c r="E223" t="s">
        <v>31</v>
      </c>
      <c r="F223" t="s">
        <v>42</v>
      </c>
      <c r="G223" t="s">
        <v>66</v>
      </c>
      <c r="H223">
        <v>45</v>
      </c>
      <c r="I223" s="1">
        <v>44278</v>
      </c>
      <c r="J223" s="2">
        <v>92317</v>
      </c>
      <c r="K223" s="3">
        <v>0.06</v>
      </c>
      <c r="L223" t="s">
        <v>25</v>
      </c>
      <c r="M223" t="s">
        <v>48</v>
      </c>
      <c r="N223" s="2">
        <f>Employee_Data[[#This Row],[Basic Salary]]*10%</f>
        <v>769.30833333333339</v>
      </c>
      <c r="O223" s="4">
        <f>Employee_Data[[#This Row],[Basic Salary]]*7.5%</f>
        <v>576.98124999999993</v>
      </c>
      <c r="P223" s="2">
        <f>Employee_Data[[#This Row],[Basic Salary]]*3%</f>
        <v>230.79249999999999</v>
      </c>
      <c r="Q223" s="2">
        <f>SUM(Employee_Data[[#This Row],[Basic Salary]],Employee_Data[[#This Row],[HRA]],Employee_Data[[#This Row],[MA]],Employee_Data[[#This Row],[TA]])</f>
        <v>9270.1654166666667</v>
      </c>
      <c r="R223" s="4">
        <f>Employee_Data[[#This Row],[Basic Salary]]*12.5%</f>
        <v>961.63541666666663</v>
      </c>
      <c r="S223" s="2">
        <f>Employee_Data[[#This Row],[Annual Salary]]/12</f>
        <v>7693.083333333333</v>
      </c>
    </row>
    <row r="224" spans="1:19" x14ac:dyDescent="0.3">
      <c r="A224" t="s">
        <v>527</v>
      </c>
      <c r="B224" t="s">
        <v>528</v>
      </c>
      <c r="C224" t="s">
        <v>54</v>
      </c>
      <c r="D224" t="s">
        <v>80</v>
      </c>
      <c r="E224" t="s">
        <v>31</v>
      </c>
      <c r="F224" t="s">
        <v>23</v>
      </c>
      <c r="G224" t="s">
        <v>84</v>
      </c>
      <c r="H224">
        <v>47</v>
      </c>
      <c r="I224" s="1">
        <v>44902</v>
      </c>
      <c r="J224" s="2">
        <v>99382</v>
      </c>
      <c r="K224" s="3">
        <v>0</v>
      </c>
      <c r="L224" t="s">
        <v>25</v>
      </c>
      <c r="M224" t="s">
        <v>32</v>
      </c>
      <c r="N224" s="2">
        <f>Employee_Data[[#This Row],[Basic Salary]]*10%</f>
        <v>828.18333333333339</v>
      </c>
      <c r="O224" s="4">
        <f>Employee_Data[[#This Row],[Basic Salary]]*7.5%</f>
        <v>621.13750000000005</v>
      </c>
      <c r="P224" s="2">
        <f>Employee_Data[[#This Row],[Basic Salary]]*3%</f>
        <v>248.45500000000001</v>
      </c>
      <c r="Q224" s="2">
        <f>SUM(Employee_Data[[#This Row],[Basic Salary]],Employee_Data[[#This Row],[HRA]],Employee_Data[[#This Row],[MA]],Employee_Data[[#This Row],[TA]])</f>
        <v>9979.6091666666671</v>
      </c>
      <c r="R224" s="4">
        <f>Employee_Data[[#This Row],[Basic Salary]]*12.5%</f>
        <v>1035.2291666666667</v>
      </c>
      <c r="S224" s="2">
        <f>Employee_Data[[#This Row],[Annual Salary]]/12</f>
        <v>8281.8333333333339</v>
      </c>
    </row>
    <row r="225" spans="1:19" x14ac:dyDescent="0.3">
      <c r="A225" t="s">
        <v>529</v>
      </c>
      <c r="B225" t="s">
        <v>530</v>
      </c>
      <c r="C225" t="s">
        <v>355</v>
      </c>
      <c r="D225" t="s">
        <v>4</v>
      </c>
      <c r="E225" t="s">
        <v>56</v>
      </c>
      <c r="F225" t="s">
        <v>42</v>
      </c>
      <c r="G225" t="s">
        <v>66</v>
      </c>
      <c r="H225">
        <v>26</v>
      </c>
      <c r="I225" s="1">
        <v>43942</v>
      </c>
      <c r="J225" s="2">
        <v>67702</v>
      </c>
      <c r="K225" s="3">
        <v>0</v>
      </c>
      <c r="L225" t="s">
        <v>25</v>
      </c>
      <c r="M225" t="s">
        <v>44</v>
      </c>
      <c r="N225" s="2">
        <f>Employee_Data[[#This Row],[Basic Salary]]*10%</f>
        <v>564.18333333333328</v>
      </c>
      <c r="O225" s="4">
        <f>Employee_Data[[#This Row],[Basic Salary]]*7.5%</f>
        <v>423.13749999999999</v>
      </c>
      <c r="P225" s="2">
        <f>Employee_Data[[#This Row],[Basic Salary]]*3%</f>
        <v>169.255</v>
      </c>
      <c r="Q225" s="2">
        <f>SUM(Employee_Data[[#This Row],[Basic Salary]],Employee_Data[[#This Row],[HRA]],Employee_Data[[#This Row],[MA]],Employee_Data[[#This Row],[TA]])</f>
        <v>6798.4091666666664</v>
      </c>
      <c r="R225" s="4">
        <f>Employee_Data[[#This Row],[Basic Salary]]*12.5%</f>
        <v>705.22916666666663</v>
      </c>
      <c r="S225" s="2">
        <f>Employee_Data[[#This Row],[Annual Salary]]/12</f>
        <v>5641.833333333333</v>
      </c>
    </row>
    <row r="226" spans="1:19" x14ac:dyDescent="0.3">
      <c r="A226" t="s">
        <v>531</v>
      </c>
      <c r="B226" t="s">
        <v>532</v>
      </c>
      <c r="C226" t="s">
        <v>60</v>
      </c>
      <c r="D226" t="s">
        <v>61</v>
      </c>
      <c r="E226" t="s">
        <v>36</v>
      </c>
      <c r="F226" t="s">
        <v>23</v>
      </c>
      <c r="G226" t="s">
        <v>24</v>
      </c>
      <c r="H226">
        <v>58</v>
      </c>
      <c r="I226" s="1">
        <v>39077</v>
      </c>
      <c r="J226" s="2">
        <v>53133</v>
      </c>
      <c r="K226" s="3">
        <v>0</v>
      </c>
      <c r="L226" t="s">
        <v>37</v>
      </c>
      <c r="M226" t="s">
        <v>62</v>
      </c>
      <c r="N226" s="2">
        <f>Employee_Data[[#This Row],[Basic Salary]]*10%</f>
        <v>442.77500000000003</v>
      </c>
      <c r="O226" s="4">
        <f>Employee_Data[[#This Row],[Basic Salary]]*7.5%</f>
        <v>332.08125000000001</v>
      </c>
      <c r="P226" s="2">
        <f>Employee_Data[[#This Row],[Basic Salary]]*3%</f>
        <v>132.83249999999998</v>
      </c>
      <c r="Q226" s="2">
        <f>SUM(Employee_Data[[#This Row],[Basic Salary]],Employee_Data[[#This Row],[HRA]],Employee_Data[[#This Row],[MA]],Employee_Data[[#This Row],[TA]])</f>
        <v>5335.4387499999993</v>
      </c>
      <c r="R226" s="4">
        <f>Employee_Data[[#This Row],[Basic Salary]]*12.5%</f>
        <v>553.46875</v>
      </c>
      <c r="S226" s="2">
        <f>Employee_Data[[#This Row],[Annual Salary]]/12</f>
        <v>4427.75</v>
      </c>
    </row>
    <row r="227" spans="1:19" x14ac:dyDescent="0.3">
      <c r="A227" t="s">
        <v>533</v>
      </c>
      <c r="B227" t="s">
        <v>534</v>
      </c>
      <c r="C227" t="s">
        <v>436</v>
      </c>
      <c r="D227" t="s">
        <v>21</v>
      </c>
      <c r="E227" t="s">
        <v>31</v>
      </c>
      <c r="F227" t="s">
        <v>42</v>
      </c>
      <c r="G227" t="s">
        <v>43</v>
      </c>
      <c r="H227">
        <v>60</v>
      </c>
      <c r="I227" s="1">
        <v>35898</v>
      </c>
      <c r="J227" s="2">
        <v>110554</v>
      </c>
      <c r="K227" s="3">
        <v>0</v>
      </c>
      <c r="L227" t="s">
        <v>137</v>
      </c>
      <c r="M227" t="s">
        <v>183</v>
      </c>
      <c r="N227" s="2">
        <f>Employee_Data[[#This Row],[Basic Salary]]*10%</f>
        <v>921.28333333333342</v>
      </c>
      <c r="O227" s="4">
        <f>Employee_Data[[#This Row],[Basic Salary]]*7.5%</f>
        <v>690.96249999999998</v>
      </c>
      <c r="P227" s="2">
        <f>Employee_Data[[#This Row],[Basic Salary]]*3%</f>
        <v>276.38499999999999</v>
      </c>
      <c r="Q227" s="2">
        <f>SUM(Employee_Data[[#This Row],[Basic Salary]],Employee_Data[[#This Row],[HRA]],Employee_Data[[#This Row],[MA]],Employee_Data[[#This Row],[TA]])</f>
        <v>11101.464166666667</v>
      </c>
      <c r="R227" s="4">
        <f>Employee_Data[[#This Row],[Basic Salary]]*12.5%</f>
        <v>1151.6041666666667</v>
      </c>
      <c r="S227" s="2">
        <f>Employee_Data[[#This Row],[Annual Salary]]/12</f>
        <v>9212.8333333333339</v>
      </c>
    </row>
    <row r="228" spans="1:19" x14ac:dyDescent="0.3">
      <c r="A228" t="s">
        <v>535</v>
      </c>
      <c r="B228" t="s">
        <v>536</v>
      </c>
      <c r="C228" t="s">
        <v>69</v>
      </c>
      <c r="D228" t="s">
        <v>61</v>
      </c>
      <c r="E228" t="s">
        <v>31</v>
      </c>
      <c r="F228" t="s">
        <v>23</v>
      </c>
      <c r="G228" t="s">
        <v>24</v>
      </c>
      <c r="H228">
        <v>45</v>
      </c>
      <c r="I228" s="1">
        <v>40368</v>
      </c>
      <c r="J228" s="2">
        <v>109221</v>
      </c>
      <c r="K228" s="3">
        <v>0.09</v>
      </c>
      <c r="L228" t="s">
        <v>25</v>
      </c>
      <c r="M228" t="s">
        <v>48</v>
      </c>
      <c r="N228" s="2">
        <f>Employee_Data[[#This Row],[Basic Salary]]*10%</f>
        <v>910.17500000000007</v>
      </c>
      <c r="O228" s="4">
        <f>Employee_Data[[#This Row],[Basic Salary]]*7.5%</f>
        <v>682.63125000000002</v>
      </c>
      <c r="P228" s="2">
        <f>Employee_Data[[#This Row],[Basic Salary]]*3%</f>
        <v>273.05250000000001</v>
      </c>
      <c r="Q228" s="2">
        <f>SUM(Employee_Data[[#This Row],[Basic Salary]],Employee_Data[[#This Row],[HRA]],Employee_Data[[#This Row],[MA]],Employee_Data[[#This Row],[TA]])</f>
        <v>10967.608749999999</v>
      </c>
      <c r="R228" s="4">
        <f>Employee_Data[[#This Row],[Basic Salary]]*12.5%</f>
        <v>1137.71875</v>
      </c>
      <c r="S228" s="2">
        <f>Employee_Data[[#This Row],[Annual Salary]]/12</f>
        <v>9101.75</v>
      </c>
    </row>
    <row r="229" spans="1:19" x14ac:dyDescent="0.3">
      <c r="A229" t="s">
        <v>537</v>
      </c>
      <c r="B229" t="s">
        <v>538</v>
      </c>
      <c r="C229" t="s">
        <v>41</v>
      </c>
      <c r="D229" t="s">
        <v>4</v>
      </c>
      <c r="E229" t="s">
        <v>56</v>
      </c>
      <c r="F229" t="s">
        <v>42</v>
      </c>
      <c r="G229" t="s">
        <v>43</v>
      </c>
      <c r="H229">
        <v>45</v>
      </c>
      <c r="I229" s="1">
        <v>39114</v>
      </c>
      <c r="J229" s="2">
        <v>88933</v>
      </c>
      <c r="K229" s="3">
        <v>0</v>
      </c>
      <c r="L229" t="s">
        <v>25</v>
      </c>
      <c r="M229" t="s">
        <v>26</v>
      </c>
      <c r="N229" s="2">
        <f>Employee_Data[[#This Row],[Basic Salary]]*10%</f>
        <v>741.10833333333335</v>
      </c>
      <c r="O229" s="4">
        <f>Employee_Data[[#This Row],[Basic Salary]]*7.5%</f>
        <v>555.83124999999995</v>
      </c>
      <c r="P229" s="2">
        <f>Employee_Data[[#This Row],[Basic Salary]]*3%</f>
        <v>222.33249999999998</v>
      </c>
      <c r="Q229" s="2">
        <f>SUM(Employee_Data[[#This Row],[Basic Salary]],Employee_Data[[#This Row],[HRA]],Employee_Data[[#This Row],[MA]],Employee_Data[[#This Row],[TA]])</f>
        <v>8930.3554166666672</v>
      </c>
      <c r="R229" s="4">
        <f>Employee_Data[[#This Row],[Basic Salary]]*12.5%</f>
        <v>926.38541666666663</v>
      </c>
      <c r="S229" s="2">
        <f>Employee_Data[[#This Row],[Annual Salary]]/12</f>
        <v>7411.083333333333</v>
      </c>
    </row>
    <row r="230" spans="1:19" x14ac:dyDescent="0.3">
      <c r="A230" t="s">
        <v>539</v>
      </c>
      <c r="B230" t="s">
        <v>540</v>
      </c>
      <c r="C230" t="s">
        <v>131</v>
      </c>
      <c r="D230" t="s">
        <v>126</v>
      </c>
      <c r="E230" t="s">
        <v>22</v>
      </c>
      <c r="F230" t="s">
        <v>23</v>
      </c>
      <c r="G230" t="s">
        <v>66</v>
      </c>
      <c r="H230">
        <v>40</v>
      </c>
      <c r="I230" s="1">
        <v>41951</v>
      </c>
      <c r="J230" s="2">
        <v>49342</v>
      </c>
      <c r="K230" s="3">
        <v>0</v>
      </c>
      <c r="L230" t="s">
        <v>25</v>
      </c>
      <c r="M230" t="s">
        <v>44</v>
      </c>
      <c r="N230" s="2">
        <f>Employee_Data[[#This Row],[Basic Salary]]*10%</f>
        <v>411.18333333333334</v>
      </c>
      <c r="O230" s="4">
        <f>Employee_Data[[#This Row],[Basic Salary]]*7.5%</f>
        <v>308.38749999999999</v>
      </c>
      <c r="P230" s="2">
        <f>Employee_Data[[#This Row],[Basic Salary]]*3%</f>
        <v>123.35499999999999</v>
      </c>
      <c r="Q230" s="2">
        <f>SUM(Employee_Data[[#This Row],[Basic Salary]],Employee_Data[[#This Row],[HRA]],Employee_Data[[#This Row],[MA]],Employee_Data[[#This Row],[TA]])</f>
        <v>4954.7591666666658</v>
      </c>
      <c r="R230" s="4">
        <f>Employee_Data[[#This Row],[Basic Salary]]*12.5%</f>
        <v>513.97916666666663</v>
      </c>
      <c r="S230" s="2">
        <f>Employee_Data[[#This Row],[Annual Salary]]/12</f>
        <v>4111.833333333333</v>
      </c>
    </row>
    <row r="231" spans="1:19" x14ac:dyDescent="0.3">
      <c r="A231" t="s">
        <v>541</v>
      </c>
      <c r="B231" t="s">
        <v>542</v>
      </c>
      <c r="C231" t="s">
        <v>164</v>
      </c>
      <c r="D231" t="s">
        <v>4</v>
      </c>
      <c r="E231" t="s">
        <v>22</v>
      </c>
      <c r="F231" t="s">
        <v>23</v>
      </c>
      <c r="G231" t="s">
        <v>66</v>
      </c>
      <c r="H231">
        <v>27</v>
      </c>
      <c r="I231" s="1">
        <v>44751</v>
      </c>
      <c r="J231" s="2">
        <v>74587</v>
      </c>
      <c r="K231" s="3">
        <v>0</v>
      </c>
      <c r="L231" t="s">
        <v>25</v>
      </c>
      <c r="M231" t="s">
        <v>48</v>
      </c>
      <c r="N231" s="2">
        <f>Employee_Data[[#This Row],[Basic Salary]]*10%</f>
        <v>621.55833333333339</v>
      </c>
      <c r="O231" s="4">
        <f>Employee_Data[[#This Row],[Basic Salary]]*7.5%</f>
        <v>466.16874999999993</v>
      </c>
      <c r="P231" s="2">
        <f>Employee_Data[[#This Row],[Basic Salary]]*3%</f>
        <v>186.46749999999997</v>
      </c>
      <c r="Q231" s="2">
        <f>SUM(Employee_Data[[#This Row],[Basic Salary]],Employee_Data[[#This Row],[HRA]],Employee_Data[[#This Row],[MA]],Employee_Data[[#This Row],[TA]])</f>
        <v>7489.777916666666</v>
      </c>
      <c r="R231" s="4">
        <f>Employee_Data[[#This Row],[Basic Salary]]*12.5%</f>
        <v>776.94791666666663</v>
      </c>
      <c r="S231" s="2">
        <f>Employee_Data[[#This Row],[Annual Salary]]/12</f>
        <v>6215.583333333333</v>
      </c>
    </row>
    <row r="232" spans="1:19" x14ac:dyDescent="0.3">
      <c r="A232" t="s">
        <v>543</v>
      </c>
      <c r="B232" t="s">
        <v>544</v>
      </c>
      <c r="C232" t="s">
        <v>54</v>
      </c>
      <c r="D232" t="s">
        <v>55</v>
      </c>
      <c r="E232" t="s">
        <v>22</v>
      </c>
      <c r="F232" t="s">
        <v>23</v>
      </c>
      <c r="G232" t="s">
        <v>24</v>
      </c>
      <c r="H232">
        <v>36</v>
      </c>
      <c r="I232" s="1">
        <v>43903</v>
      </c>
      <c r="J232" s="2">
        <v>80757</v>
      </c>
      <c r="K232" s="3">
        <v>0</v>
      </c>
      <c r="L232" t="s">
        <v>37</v>
      </c>
      <c r="M232" t="s">
        <v>57</v>
      </c>
      <c r="N232" s="2">
        <f>Employee_Data[[#This Row],[Basic Salary]]*10%</f>
        <v>672.97500000000002</v>
      </c>
      <c r="O232" s="4">
        <f>Employee_Data[[#This Row],[Basic Salary]]*7.5%</f>
        <v>504.73124999999999</v>
      </c>
      <c r="P232" s="2">
        <f>Employee_Data[[#This Row],[Basic Salary]]*3%</f>
        <v>201.89249999999998</v>
      </c>
      <c r="Q232" s="2">
        <f>SUM(Employee_Data[[#This Row],[Basic Salary]],Employee_Data[[#This Row],[HRA]],Employee_Data[[#This Row],[MA]],Employee_Data[[#This Row],[TA]])</f>
        <v>8109.3487500000001</v>
      </c>
      <c r="R232" s="4">
        <f>Employee_Data[[#This Row],[Basic Salary]]*12.5%</f>
        <v>841.21875</v>
      </c>
      <c r="S232" s="2">
        <f>Employee_Data[[#This Row],[Annual Salary]]/12</f>
        <v>6729.75</v>
      </c>
    </row>
    <row r="233" spans="1:19" x14ac:dyDescent="0.3">
      <c r="A233" t="s">
        <v>545</v>
      </c>
      <c r="B233" t="s">
        <v>546</v>
      </c>
      <c r="C233" t="s">
        <v>47</v>
      </c>
      <c r="D233" t="s">
        <v>61</v>
      </c>
      <c r="E233" t="s">
        <v>31</v>
      </c>
      <c r="F233" t="s">
        <v>23</v>
      </c>
      <c r="G233" t="s">
        <v>24</v>
      </c>
      <c r="H233">
        <v>28</v>
      </c>
      <c r="I233" s="1">
        <v>44846</v>
      </c>
      <c r="J233" s="2">
        <v>198662</v>
      </c>
      <c r="K233" s="3">
        <v>0.25</v>
      </c>
      <c r="L233" t="s">
        <v>37</v>
      </c>
      <c r="M233" t="s">
        <v>111</v>
      </c>
      <c r="N233" s="2">
        <f>Employee_Data[[#This Row],[Basic Salary]]*10%</f>
        <v>1655.5166666666669</v>
      </c>
      <c r="O233" s="4">
        <f>Employee_Data[[#This Row],[Basic Salary]]*7.5%</f>
        <v>1241.6375</v>
      </c>
      <c r="P233" s="2">
        <f>Employee_Data[[#This Row],[Basic Salary]]*3%</f>
        <v>496.65500000000003</v>
      </c>
      <c r="Q233" s="2">
        <f>SUM(Employee_Data[[#This Row],[Basic Salary]],Employee_Data[[#This Row],[HRA]],Employee_Data[[#This Row],[MA]],Employee_Data[[#This Row],[TA]])</f>
        <v>19948.975833333334</v>
      </c>
      <c r="R233" s="4">
        <f>Employee_Data[[#This Row],[Basic Salary]]*12.5%</f>
        <v>2069.3958333333335</v>
      </c>
      <c r="S233" s="2">
        <f>Employee_Data[[#This Row],[Annual Salary]]/12</f>
        <v>16555.166666666668</v>
      </c>
    </row>
    <row r="234" spans="1:19" x14ac:dyDescent="0.3">
      <c r="A234" t="s">
        <v>547</v>
      </c>
      <c r="B234" t="s">
        <v>548</v>
      </c>
      <c r="C234" t="s">
        <v>83</v>
      </c>
      <c r="D234" t="s">
        <v>80</v>
      </c>
      <c r="E234" t="s">
        <v>22</v>
      </c>
      <c r="F234" t="s">
        <v>42</v>
      </c>
      <c r="G234" t="s">
        <v>84</v>
      </c>
      <c r="H234">
        <v>57</v>
      </c>
      <c r="I234" s="1">
        <v>44420</v>
      </c>
      <c r="J234" s="2">
        <v>142506</v>
      </c>
      <c r="K234" s="3">
        <v>0.11</v>
      </c>
      <c r="L234" t="s">
        <v>25</v>
      </c>
      <c r="M234" t="s">
        <v>48</v>
      </c>
      <c r="N234" s="2">
        <f>Employee_Data[[#This Row],[Basic Salary]]*10%</f>
        <v>1187.55</v>
      </c>
      <c r="O234" s="4">
        <f>Employee_Data[[#This Row],[Basic Salary]]*7.5%</f>
        <v>890.66250000000002</v>
      </c>
      <c r="P234" s="2">
        <f>Employee_Data[[#This Row],[Basic Salary]]*3%</f>
        <v>356.26499999999999</v>
      </c>
      <c r="Q234" s="2">
        <f>SUM(Employee_Data[[#This Row],[Basic Salary]],Employee_Data[[#This Row],[HRA]],Employee_Data[[#This Row],[MA]],Employee_Data[[#This Row],[TA]])</f>
        <v>14309.977499999999</v>
      </c>
      <c r="R234" s="4">
        <f>Employee_Data[[#This Row],[Basic Salary]]*12.5%</f>
        <v>1484.4375</v>
      </c>
      <c r="S234" s="2">
        <f>Employee_Data[[#This Row],[Annual Salary]]/12</f>
        <v>11875.5</v>
      </c>
    </row>
    <row r="235" spans="1:19" x14ac:dyDescent="0.3">
      <c r="A235" t="s">
        <v>549</v>
      </c>
      <c r="B235" t="s">
        <v>550</v>
      </c>
      <c r="C235" t="s">
        <v>380</v>
      </c>
      <c r="D235" t="s">
        <v>4</v>
      </c>
      <c r="E235" t="s">
        <v>22</v>
      </c>
      <c r="F235" t="s">
        <v>23</v>
      </c>
      <c r="G235" t="s">
        <v>84</v>
      </c>
      <c r="H235">
        <v>57</v>
      </c>
      <c r="I235" s="1">
        <v>44757</v>
      </c>
      <c r="J235" s="2">
        <v>77028</v>
      </c>
      <c r="K235" s="3">
        <v>0</v>
      </c>
      <c r="L235" t="s">
        <v>25</v>
      </c>
      <c r="M235" t="s">
        <v>44</v>
      </c>
      <c r="N235" s="2">
        <f>Employee_Data[[#This Row],[Basic Salary]]*10%</f>
        <v>641.90000000000009</v>
      </c>
      <c r="O235" s="4">
        <f>Employee_Data[[#This Row],[Basic Salary]]*7.5%</f>
        <v>481.42499999999995</v>
      </c>
      <c r="P235" s="2">
        <f>Employee_Data[[#This Row],[Basic Salary]]*3%</f>
        <v>192.57</v>
      </c>
      <c r="Q235" s="2">
        <f>SUM(Employee_Data[[#This Row],[Basic Salary]],Employee_Data[[#This Row],[HRA]],Employee_Data[[#This Row],[MA]],Employee_Data[[#This Row],[TA]])</f>
        <v>7734.8949999999995</v>
      </c>
      <c r="R235" s="4">
        <f>Employee_Data[[#This Row],[Basic Salary]]*12.5%</f>
        <v>802.375</v>
      </c>
      <c r="S235" s="2">
        <f>Employee_Data[[#This Row],[Annual Salary]]/12</f>
        <v>6419</v>
      </c>
    </row>
    <row r="236" spans="1:19" x14ac:dyDescent="0.3">
      <c r="A236" t="s">
        <v>551</v>
      </c>
      <c r="B236" t="s">
        <v>552</v>
      </c>
      <c r="C236" t="s">
        <v>164</v>
      </c>
      <c r="D236" t="s">
        <v>4</v>
      </c>
      <c r="E236" t="s">
        <v>36</v>
      </c>
      <c r="F236" t="s">
        <v>23</v>
      </c>
      <c r="G236" t="s">
        <v>43</v>
      </c>
      <c r="H236">
        <v>30</v>
      </c>
      <c r="I236" s="1">
        <v>42744</v>
      </c>
      <c r="J236" s="2">
        <v>80389</v>
      </c>
      <c r="K236" s="3">
        <v>0</v>
      </c>
      <c r="L236" t="s">
        <v>137</v>
      </c>
      <c r="M236" t="s">
        <v>289</v>
      </c>
      <c r="N236" s="2">
        <f>Employee_Data[[#This Row],[Basic Salary]]*10%</f>
        <v>669.9083333333333</v>
      </c>
      <c r="O236" s="4">
        <f>Employee_Data[[#This Row],[Basic Salary]]*7.5%</f>
        <v>502.43124999999998</v>
      </c>
      <c r="P236" s="2">
        <f>Employee_Data[[#This Row],[Basic Salary]]*3%</f>
        <v>200.9725</v>
      </c>
      <c r="Q236" s="2">
        <f>SUM(Employee_Data[[#This Row],[Basic Salary]],Employee_Data[[#This Row],[HRA]],Employee_Data[[#This Row],[MA]],Employee_Data[[#This Row],[TA]])</f>
        <v>8072.3954166666663</v>
      </c>
      <c r="R236" s="4">
        <f>Employee_Data[[#This Row],[Basic Salary]]*12.5%</f>
        <v>837.38541666666663</v>
      </c>
      <c r="S236" s="2">
        <f>Employee_Data[[#This Row],[Annual Salary]]/12</f>
        <v>6699.083333333333</v>
      </c>
    </row>
    <row r="237" spans="1:19" x14ac:dyDescent="0.3">
      <c r="A237" t="s">
        <v>553</v>
      </c>
      <c r="B237" t="s">
        <v>554</v>
      </c>
      <c r="C237" t="s">
        <v>89</v>
      </c>
      <c r="D237" t="s">
        <v>21</v>
      </c>
      <c r="E237" t="s">
        <v>56</v>
      </c>
      <c r="F237" t="s">
        <v>42</v>
      </c>
      <c r="G237" t="s">
        <v>66</v>
      </c>
      <c r="H237">
        <v>26</v>
      </c>
      <c r="I237" s="1">
        <v>44584</v>
      </c>
      <c r="J237" s="2">
        <v>249062</v>
      </c>
      <c r="K237" s="3">
        <v>0.39</v>
      </c>
      <c r="L237" t="s">
        <v>25</v>
      </c>
      <c r="M237" t="s">
        <v>70</v>
      </c>
      <c r="N237" s="2">
        <f>Employee_Data[[#This Row],[Basic Salary]]*10%</f>
        <v>2075.5166666666669</v>
      </c>
      <c r="O237" s="4">
        <f>Employee_Data[[#This Row],[Basic Salary]]*7.5%</f>
        <v>1556.6375</v>
      </c>
      <c r="P237" s="2">
        <f>Employee_Data[[#This Row],[Basic Salary]]*3%</f>
        <v>622.65499999999997</v>
      </c>
      <c r="Q237" s="2">
        <f>SUM(Employee_Data[[#This Row],[Basic Salary]],Employee_Data[[#This Row],[HRA]],Employee_Data[[#This Row],[MA]],Employee_Data[[#This Row],[TA]])</f>
        <v>25009.975833333334</v>
      </c>
      <c r="R237" s="4">
        <f>Employee_Data[[#This Row],[Basic Salary]]*12.5%</f>
        <v>2594.3958333333335</v>
      </c>
      <c r="S237" s="2">
        <f>Employee_Data[[#This Row],[Annual Salary]]/12</f>
        <v>20755.166666666668</v>
      </c>
    </row>
    <row r="238" spans="1:19" x14ac:dyDescent="0.3">
      <c r="A238" t="s">
        <v>555</v>
      </c>
      <c r="B238" t="s">
        <v>556</v>
      </c>
      <c r="C238" t="s">
        <v>159</v>
      </c>
      <c r="D238" t="s">
        <v>4</v>
      </c>
      <c r="E238" t="s">
        <v>31</v>
      </c>
      <c r="F238" t="s">
        <v>42</v>
      </c>
      <c r="G238" t="s">
        <v>43</v>
      </c>
      <c r="H238">
        <v>53</v>
      </c>
      <c r="I238" s="1">
        <v>41282</v>
      </c>
      <c r="J238" s="2">
        <v>52675</v>
      </c>
      <c r="K238" s="3">
        <v>0</v>
      </c>
      <c r="L238" t="s">
        <v>137</v>
      </c>
      <c r="M238" t="s">
        <v>289</v>
      </c>
      <c r="N238" s="2">
        <f>Employee_Data[[#This Row],[Basic Salary]]*10%</f>
        <v>438.95833333333331</v>
      </c>
      <c r="O238" s="4">
        <f>Employee_Data[[#This Row],[Basic Salary]]*7.5%</f>
        <v>329.21874999999994</v>
      </c>
      <c r="P238" s="2">
        <f>Employee_Data[[#This Row],[Basic Salary]]*3%</f>
        <v>131.6875</v>
      </c>
      <c r="Q238" s="2">
        <f>SUM(Employee_Data[[#This Row],[Basic Salary]],Employee_Data[[#This Row],[HRA]],Employee_Data[[#This Row],[MA]],Employee_Data[[#This Row],[TA]])</f>
        <v>5289.4479166666661</v>
      </c>
      <c r="R238" s="4">
        <f>Employee_Data[[#This Row],[Basic Salary]]*12.5%</f>
        <v>548.69791666666663</v>
      </c>
      <c r="S238" s="2">
        <f>Employee_Data[[#This Row],[Annual Salary]]/12</f>
        <v>4389.583333333333</v>
      </c>
    </row>
    <row r="239" spans="1:19" x14ac:dyDescent="0.3">
      <c r="A239" t="s">
        <v>557</v>
      </c>
      <c r="B239" t="s">
        <v>558</v>
      </c>
      <c r="C239" t="s">
        <v>405</v>
      </c>
      <c r="D239" t="s">
        <v>30</v>
      </c>
      <c r="E239" t="s">
        <v>22</v>
      </c>
      <c r="F239" t="s">
        <v>23</v>
      </c>
      <c r="G239" t="s">
        <v>24</v>
      </c>
      <c r="H239">
        <v>59</v>
      </c>
      <c r="I239" s="1">
        <v>41770</v>
      </c>
      <c r="J239" s="2">
        <v>83365</v>
      </c>
      <c r="K239" s="3">
        <v>0</v>
      </c>
      <c r="L239" t="s">
        <v>37</v>
      </c>
      <c r="M239" t="s">
        <v>57</v>
      </c>
      <c r="N239" s="2">
        <f>Employee_Data[[#This Row],[Basic Salary]]*10%</f>
        <v>694.70833333333337</v>
      </c>
      <c r="O239" s="4">
        <f>Employee_Data[[#This Row],[Basic Salary]]*7.5%</f>
        <v>521.03125</v>
      </c>
      <c r="P239" s="2">
        <f>Employee_Data[[#This Row],[Basic Salary]]*3%</f>
        <v>208.41249999999999</v>
      </c>
      <c r="Q239" s="2">
        <f>SUM(Employee_Data[[#This Row],[Basic Salary]],Employee_Data[[#This Row],[HRA]],Employee_Data[[#This Row],[MA]],Employee_Data[[#This Row],[TA]])</f>
        <v>8371.2354166666664</v>
      </c>
      <c r="R239" s="4">
        <f>Employee_Data[[#This Row],[Basic Salary]]*12.5%</f>
        <v>868.38541666666663</v>
      </c>
      <c r="S239" s="2">
        <f>Employee_Data[[#This Row],[Annual Salary]]/12</f>
        <v>6947.083333333333</v>
      </c>
    </row>
    <row r="240" spans="1:19" x14ac:dyDescent="0.3">
      <c r="A240" t="s">
        <v>559</v>
      </c>
      <c r="B240" t="s">
        <v>560</v>
      </c>
      <c r="C240" t="s">
        <v>227</v>
      </c>
      <c r="D240" t="s">
        <v>4</v>
      </c>
      <c r="E240" t="s">
        <v>56</v>
      </c>
      <c r="F240" t="s">
        <v>23</v>
      </c>
      <c r="G240" t="s">
        <v>24</v>
      </c>
      <c r="H240">
        <v>56</v>
      </c>
      <c r="I240" s="1">
        <v>37850</v>
      </c>
      <c r="J240" s="2">
        <v>82758</v>
      </c>
      <c r="K240" s="3">
        <v>0</v>
      </c>
      <c r="L240" t="s">
        <v>25</v>
      </c>
      <c r="M240" t="s">
        <v>44</v>
      </c>
      <c r="N240" s="2">
        <f>Employee_Data[[#This Row],[Basic Salary]]*10%</f>
        <v>689.65000000000009</v>
      </c>
      <c r="O240" s="4">
        <f>Employee_Data[[#This Row],[Basic Salary]]*7.5%</f>
        <v>517.23749999999995</v>
      </c>
      <c r="P240" s="2">
        <f>Employee_Data[[#This Row],[Basic Salary]]*3%</f>
        <v>206.89499999999998</v>
      </c>
      <c r="Q240" s="2">
        <f>SUM(Employee_Data[[#This Row],[Basic Salary]],Employee_Data[[#This Row],[HRA]],Employee_Data[[#This Row],[MA]],Employee_Data[[#This Row],[TA]])</f>
        <v>8310.2824999999993</v>
      </c>
      <c r="R240" s="4">
        <f>Employee_Data[[#This Row],[Basic Salary]]*12.5%</f>
        <v>862.0625</v>
      </c>
      <c r="S240" s="2">
        <f>Employee_Data[[#This Row],[Annual Salary]]/12</f>
        <v>6896.5</v>
      </c>
    </row>
    <row r="241" spans="1:19" x14ac:dyDescent="0.3">
      <c r="A241" t="s">
        <v>561</v>
      </c>
      <c r="B241" t="s">
        <v>562</v>
      </c>
      <c r="C241" t="s">
        <v>69</v>
      </c>
      <c r="D241" t="s">
        <v>4</v>
      </c>
      <c r="E241" t="s">
        <v>31</v>
      </c>
      <c r="F241" t="s">
        <v>23</v>
      </c>
      <c r="G241" t="s">
        <v>66</v>
      </c>
      <c r="H241">
        <v>41</v>
      </c>
      <c r="I241" s="1">
        <v>41059</v>
      </c>
      <c r="J241" s="2">
        <v>126406</v>
      </c>
      <c r="K241" s="3">
        <v>0.1</v>
      </c>
      <c r="L241" t="s">
        <v>25</v>
      </c>
      <c r="M241" t="s">
        <v>32</v>
      </c>
      <c r="N241" s="2">
        <f>Employee_Data[[#This Row],[Basic Salary]]*10%</f>
        <v>1053.3833333333334</v>
      </c>
      <c r="O241" s="4">
        <f>Employee_Data[[#This Row],[Basic Salary]]*7.5%</f>
        <v>790.03750000000002</v>
      </c>
      <c r="P241" s="2">
        <f>Employee_Data[[#This Row],[Basic Salary]]*3%</f>
        <v>316.01499999999999</v>
      </c>
      <c r="Q241" s="2">
        <f>SUM(Employee_Data[[#This Row],[Basic Salary]],Employee_Data[[#This Row],[HRA]],Employee_Data[[#This Row],[MA]],Employee_Data[[#This Row],[TA]])</f>
        <v>12693.269166666667</v>
      </c>
      <c r="R241" s="4">
        <f>Employee_Data[[#This Row],[Basic Salary]]*12.5%</f>
        <v>1316.7291666666667</v>
      </c>
      <c r="S241" s="2">
        <f>Employee_Data[[#This Row],[Annual Salary]]/12</f>
        <v>10533.833333333334</v>
      </c>
    </row>
    <row r="242" spans="1:19" x14ac:dyDescent="0.3">
      <c r="A242" t="s">
        <v>563</v>
      </c>
      <c r="B242" t="s">
        <v>564</v>
      </c>
      <c r="C242" t="s">
        <v>69</v>
      </c>
      <c r="D242" t="s">
        <v>80</v>
      </c>
      <c r="E242" t="s">
        <v>31</v>
      </c>
      <c r="F242" t="s">
        <v>42</v>
      </c>
      <c r="G242" t="s">
        <v>24</v>
      </c>
      <c r="H242">
        <v>46</v>
      </c>
      <c r="I242" s="1">
        <v>42759</v>
      </c>
      <c r="J242" s="2">
        <v>103147</v>
      </c>
      <c r="K242" s="3">
        <v>0.06</v>
      </c>
      <c r="L242" t="s">
        <v>25</v>
      </c>
      <c r="M242" t="s">
        <v>70</v>
      </c>
      <c r="N242" s="2">
        <f>Employee_Data[[#This Row],[Basic Salary]]*10%</f>
        <v>859.55833333333339</v>
      </c>
      <c r="O242" s="4">
        <f>Employee_Data[[#This Row],[Basic Salary]]*7.5%</f>
        <v>644.66875000000005</v>
      </c>
      <c r="P242" s="2">
        <f>Employee_Data[[#This Row],[Basic Salary]]*3%</f>
        <v>257.86750000000001</v>
      </c>
      <c r="Q242" s="2">
        <f>SUM(Employee_Data[[#This Row],[Basic Salary]],Employee_Data[[#This Row],[HRA]],Employee_Data[[#This Row],[MA]],Employee_Data[[#This Row],[TA]])</f>
        <v>10357.677916666667</v>
      </c>
      <c r="R242" s="4">
        <f>Employee_Data[[#This Row],[Basic Salary]]*12.5%</f>
        <v>1074.4479166666667</v>
      </c>
      <c r="S242" s="2">
        <f>Employee_Data[[#This Row],[Annual Salary]]/12</f>
        <v>8595.5833333333339</v>
      </c>
    </row>
    <row r="243" spans="1:19" x14ac:dyDescent="0.3">
      <c r="A243" t="s">
        <v>565</v>
      </c>
      <c r="B243" t="s">
        <v>566</v>
      </c>
      <c r="C243" t="s">
        <v>41</v>
      </c>
      <c r="D243" t="s">
        <v>4</v>
      </c>
      <c r="E243" t="s">
        <v>22</v>
      </c>
      <c r="F243" t="s">
        <v>23</v>
      </c>
      <c r="G243" t="s">
        <v>43</v>
      </c>
      <c r="H243">
        <v>49</v>
      </c>
      <c r="I243" s="1">
        <v>44108</v>
      </c>
      <c r="J243" s="2">
        <v>81622</v>
      </c>
      <c r="K243" s="3">
        <v>0</v>
      </c>
      <c r="L243" t="s">
        <v>25</v>
      </c>
      <c r="M243" t="s">
        <v>32</v>
      </c>
      <c r="N243" s="2">
        <f>Employee_Data[[#This Row],[Basic Salary]]*10%</f>
        <v>680.18333333333339</v>
      </c>
      <c r="O243" s="4">
        <f>Employee_Data[[#This Row],[Basic Salary]]*7.5%</f>
        <v>510.13749999999993</v>
      </c>
      <c r="P243" s="2">
        <f>Employee_Data[[#This Row],[Basic Salary]]*3%</f>
        <v>204.05499999999998</v>
      </c>
      <c r="Q243" s="2">
        <f>SUM(Employee_Data[[#This Row],[Basic Salary]],Employee_Data[[#This Row],[HRA]],Employee_Data[[#This Row],[MA]],Employee_Data[[#This Row],[TA]])</f>
        <v>8196.2091666666656</v>
      </c>
      <c r="R243" s="4">
        <f>Employee_Data[[#This Row],[Basic Salary]]*12.5%</f>
        <v>850.22916666666663</v>
      </c>
      <c r="S243" s="2">
        <f>Employee_Data[[#This Row],[Annual Salary]]/12</f>
        <v>6801.833333333333</v>
      </c>
    </row>
    <row r="244" spans="1:19" x14ac:dyDescent="0.3">
      <c r="A244" t="s">
        <v>567</v>
      </c>
      <c r="B244" t="s">
        <v>568</v>
      </c>
      <c r="C244" t="s">
        <v>73</v>
      </c>
      <c r="D244" t="s">
        <v>4</v>
      </c>
      <c r="E244" t="s">
        <v>56</v>
      </c>
      <c r="F244" t="s">
        <v>23</v>
      </c>
      <c r="G244" t="s">
        <v>66</v>
      </c>
      <c r="H244">
        <v>42</v>
      </c>
      <c r="I244" s="1">
        <v>44270</v>
      </c>
      <c r="J244" s="2">
        <v>44265</v>
      </c>
      <c r="K244" s="3">
        <v>0</v>
      </c>
      <c r="L244" t="s">
        <v>25</v>
      </c>
      <c r="M244" t="s">
        <v>48</v>
      </c>
      <c r="N244" s="2">
        <f>Employee_Data[[#This Row],[Basic Salary]]*10%</f>
        <v>368.875</v>
      </c>
      <c r="O244" s="4">
        <f>Employee_Data[[#This Row],[Basic Salary]]*7.5%</f>
        <v>276.65625</v>
      </c>
      <c r="P244" s="2">
        <f>Employee_Data[[#This Row],[Basic Salary]]*3%</f>
        <v>110.66249999999999</v>
      </c>
      <c r="Q244" s="2">
        <f>SUM(Employee_Data[[#This Row],[Basic Salary]],Employee_Data[[#This Row],[HRA]],Employee_Data[[#This Row],[MA]],Employee_Data[[#This Row],[TA]])</f>
        <v>4444.9437500000004</v>
      </c>
      <c r="R244" s="4">
        <f>Employee_Data[[#This Row],[Basic Salary]]*12.5%</f>
        <v>461.09375</v>
      </c>
      <c r="S244" s="2">
        <f>Employee_Data[[#This Row],[Annual Salary]]/12</f>
        <v>3688.75</v>
      </c>
    </row>
    <row r="245" spans="1:19" x14ac:dyDescent="0.3">
      <c r="A245" t="s">
        <v>569</v>
      </c>
      <c r="B245" t="s">
        <v>570</v>
      </c>
      <c r="C245" t="s">
        <v>89</v>
      </c>
      <c r="D245" t="s">
        <v>30</v>
      </c>
      <c r="E245" t="s">
        <v>56</v>
      </c>
      <c r="F245" t="s">
        <v>42</v>
      </c>
      <c r="G245" t="s">
        <v>24</v>
      </c>
      <c r="H245">
        <v>55</v>
      </c>
      <c r="I245" s="1">
        <v>36222</v>
      </c>
      <c r="J245" s="2">
        <v>213998</v>
      </c>
      <c r="K245" s="3">
        <v>0.34</v>
      </c>
      <c r="L245" t="s">
        <v>25</v>
      </c>
      <c r="M245" t="s">
        <v>70</v>
      </c>
      <c r="N245" s="2">
        <f>Employee_Data[[#This Row],[Basic Salary]]*10%</f>
        <v>1783.3166666666668</v>
      </c>
      <c r="O245" s="4">
        <f>Employee_Data[[#This Row],[Basic Salary]]*7.5%</f>
        <v>1337.4875</v>
      </c>
      <c r="P245" s="2">
        <f>Employee_Data[[#This Row],[Basic Salary]]*3%</f>
        <v>534.995</v>
      </c>
      <c r="Q245" s="2">
        <f>SUM(Employee_Data[[#This Row],[Basic Salary]],Employee_Data[[#This Row],[HRA]],Employee_Data[[#This Row],[MA]],Employee_Data[[#This Row],[TA]])</f>
        <v>21488.965833333332</v>
      </c>
      <c r="R245" s="4">
        <f>Employee_Data[[#This Row],[Basic Salary]]*12.5%</f>
        <v>2229.1458333333335</v>
      </c>
      <c r="S245" s="2">
        <f>Employee_Data[[#This Row],[Annual Salary]]/12</f>
        <v>17833.166666666668</v>
      </c>
    </row>
    <row r="246" spans="1:19" x14ac:dyDescent="0.3">
      <c r="A246" t="s">
        <v>571</v>
      </c>
      <c r="B246" t="s">
        <v>572</v>
      </c>
      <c r="C246" t="s">
        <v>47</v>
      </c>
      <c r="D246" t="s">
        <v>4</v>
      </c>
      <c r="E246" t="s">
        <v>36</v>
      </c>
      <c r="F246" t="s">
        <v>23</v>
      </c>
      <c r="G246" t="s">
        <v>43</v>
      </c>
      <c r="H246">
        <v>44</v>
      </c>
      <c r="I246" s="1">
        <v>41874</v>
      </c>
      <c r="J246" s="2">
        <v>171823</v>
      </c>
      <c r="K246" s="3">
        <v>0.27</v>
      </c>
      <c r="L246" t="s">
        <v>25</v>
      </c>
      <c r="M246" t="s">
        <v>26</v>
      </c>
      <c r="N246" s="2">
        <f>Employee_Data[[#This Row],[Basic Salary]]*10%</f>
        <v>1431.8583333333336</v>
      </c>
      <c r="O246" s="4">
        <f>Employee_Data[[#This Row],[Basic Salary]]*7.5%</f>
        <v>1073.89375</v>
      </c>
      <c r="P246" s="2">
        <f>Employee_Data[[#This Row],[Basic Salary]]*3%</f>
        <v>429.5575</v>
      </c>
      <c r="Q246" s="2">
        <f>SUM(Employee_Data[[#This Row],[Basic Salary]],Employee_Data[[#This Row],[HRA]],Employee_Data[[#This Row],[MA]],Employee_Data[[#This Row],[TA]])</f>
        <v>17253.892916666668</v>
      </c>
      <c r="R246" s="4">
        <f>Employee_Data[[#This Row],[Basic Salary]]*12.5%</f>
        <v>1789.8229166666667</v>
      </c>
      <c r="S246" s="2">
        <f>Employee_Data[[#This Row],[Annual Salary]]/12</f>
        <v>14318.583333333334</v>
      </c>
    </row>
    <row r="247" spans="1:19" x14ac:dyDescent="0.3">
      <c r="A247" t="s">
        <v>573</v>
      </c>
      <c r="B247" t="s">
        <v>574</v>
      </c>
      <c r="C247" t="s">
        <v>89</v>
      </c>
      <c r="D247" t="s">
        <v>55</v>
      </c>
      <c r="E247" t="s">
        <v>22</v>
      </c>
      <c r="F247" t="s">
        <v>23</v>
      </c>
      <c r="G247" t="s">
        <v>24</v>
      </c>
      <c r="H247">
        <v>28</v>
      </c>
      <c r="I247" s="1">
        <v>43410</v>
      </c>
      <c r="J247" s="2">
        <v>201013</v>
      </c>
      <c r="K247" s="3">
        <v>0.31</v>
      </c>
      <c r="L247" t="s">
        <v>25</v>
      </c>
      <c r="M247" t="s">
        <v>51</v>
      </c>
      <c r="N247" s="2">
        <f>Employee_Data[[#This Row],[Basic Salary]]*10%</f>
        <v>1675.1083333333333</v>
      </c>
      <c r="O247" s="4">
        <f>Employee_Data[[#This Row],[Basic Salary]]*7.5%</f>
        <v>1256.33125</v>
      </c>
      <c r="P247" s="2">
        <f>Employee_Data[[#This Row],[Basic Salary]]*3%</f>
        <v>502.53249999999997</v>
      </c>
      <c r="Q247" s="2">
        <f>SUM(Employee_Data[[#This Row],[Basic Salary]],Employee_Data[[#This Row],[HRA]],Employee_Data[[#This Row],[MA]],Employee_Data[[#This Row],[TA]])</f>
        <v>20185.055416666666</v>
      </c>
      <c r="R247" s="4">
        <f>Employee_Data[[#This Row],[Basic Salary]]*12.5%</f>
        <v>2093.8854166666665</v>
      </c>
      <c r="S247" s="2">
        <f>Employee_Data[[#This Row],[Annual Salary]]/12</f>
        <v>16751.083333333332</v>
      </c>
    </row>
    <row r="248" spans="1:19" x14ac:dyDescent="0.3">
      <c r="A248" t="s">
        <v>575</v>
      </c>
      <c r="B248" t="s">
        <v>576</v>
      </c>
      <c r="C248" t="s">
        <v>47</v>
      </c>
      <c r="D248" t="s">
        <v>4</v>
      </c>
      <c r="E248" t="s">
        <v>22</v>
      </c>
      <c r="F248" t="s">
        <v>23</v>
      </c>
      <c r="G248" t="s">
        <v>84</v>
      </c>
      <c r="H248">
        <v>41</v>
      </c>
      <c r="I248" s="1">
        <v>41537</v>
      </c>
      <c r="J248" s="2">
        <v>192944</v>
      </c>
      <c r="K248" s="3">
        <v>0.22</v>
      </c>
      <c r="L248" t="s">
        <v>25</v>
      </c>
      <c r="M248" t="s">
        <v>70</v>
      </c>
      <c r="N248" s="2">
        <f>Employee_Data[[#This Row],[Basic Salary]]*10%</f>
        <v>1607.8666666666668</v>
      </c>
      <c r="O248" s="4">
        <f>Employee_Data[[#This Row],[Basic Salary]]*7.5%</f>
        <v>1205.8999999999999</v>
      </c>
      <c r="P248" s="2">
        <f>Employee_Data[[#This Row],[Basic Salary]]*3%</f>
        <v>482.35999999999996</v>
      </c>
      <c r="Q248" s="2">
        <f>SUM(Employee_Data[[#This Row],[Basic Salary]],Employee_Data[[#This Row],[HRA]],Employee_Data[[#This Row],[MA]],Employee_Data[[#This Row],[TA]])</f>
        <v>19374.793333333335</v>
      </c>
      <c r="R248" s="4">
        <f>Employee_Data[[#This Row],[Basic Salary]]*12.5%</f>
        <v>2009.8333333333333</v>
      </c>
      <c r="S248" s="2">
        <f>Employee_Data[[#This Row],[Annual Salary]]/12</f>
        <v>16078.666666666666</v>
      </c>
    </row>
    <row r="249" spans="1:19" x14ac:dyDescent="0.3">
      <c r="A249" t="s">
        <v>577</v>
      </c>
      <c r="B249" t="s">
        <v>578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>
        <v>60</v>
      </c>
      <c r="I249" s="1">
        <v>35321</v>
      </c>
      <c r="J249" s="2">
        <v>81699</v>
      </c>
      <c r="K249" s="3">
        <v>0</v>
      </c>
      <c r="L249" t="s">
        <v>37</v>
      </c>
      <c r="M249" t="s">
        <v>111</v>
      </c>
      <c r="N249" s="2">
        <f>Employee_Data[[#This Row],[Basic Salary]]*10%</f>
        <v>680.82500000000005</v>
      </c>
      <c r="O249" s="4">
        <f>Employee_Data[[#This Row],[Basic Salary]]*7.5%</f>
        <v>510.61874999999998</v>
      </c>
      <c r="P249" s="2">
        <f>Employee_Data[[#This Row],[Basic Salary]]*3%</f>
        <v>204.2475</v>
      </c>
      <c r="Q249" s="2">
        <f>SUM(Employee_Data[[#This Row],[Basic Salary]],Employee_Data[[#This Row],[HRA]],Employee_Data[[#This Row],[MA]],Employee_Data[[#This Row],[TA]])</f>
        <v>8203.9412499999999</v>
      </c>
      <c r="R249" s="4">
        <f>Employee_Data[[#This Row],[Basic Salary]]*12.5%</f>
        <v>851.03125</v>
      </c>
      <c r="S249" s="2">
        <f>Employee_Data[[#This Row],[Annual Salary]]/12</f>
        <v>6808.25</v>
      </c>
    </row>
    <row r="250" spans="1:19" x14ac:dyDescent="0.3">
      <c r="A250" t="s">
        <v>579</v>
      </c>
      <c r="B250" t="s">
        <v>580</v>
      </c>
      <c r="C250" t="s">
        <v>69</v>
      </c>
      <c r="D250" t="s">
        <v>30</v>
      </c>
      <c r="E250" t="s">
        <v>22</v>
      </c>
      <c r="F250" t="s">
        <v>42</v>
      </c>
      <c r="G250" t="s">
        <v>24</v>
      </c>
      <c r="H250">
        <v>54</v>
      </c>
      <c r="I250" s="1">
        <v>40131</v>
      </c>
      <c r="J250" s="2">
        <v>128791</v>
      </c>
      <c r="K250" s="3">
        <v>0.06</v>
      </c>
      <c r="L250" t="s">
        <v>25</v>
      </c>
      <c r="M250" t="s">
        <v>70</v>
      </c>
      <c r="N250" s="2">
        <f>Employee_Data[[#This Row],[Basic Salary]]*10%</f>
        <v>1073.2583333333334</v>
      </c>
      <c r="O250" s="4">
        <f>Employee_Data[[#This Row],[Basic Salary]]*7.5%</f>
        <v>804.94375000000002</v>
      </c>
      <c r="P250" s="2">
        <f>Employee_Data[[#This Row],[Basic Salary]]*3%</f>
        <v>321.97750000000002</v>
      </c>
      <c r="Q250" s="2">
        <f>SUM(Employee_Data[[#This Row],[Basic Salary]],Employee_Data[[#This Row],[HRA]],Employee_Data[[#This Row],[MA]],Employee_Data[[#This Row],[TA]])</f>
        <v>12932.762916666668</v>
      </c>
      <c r="R250" s="4">
        <f>Employee_Data[[#This Row],[Basic Salary]]*12.5%</f>
        <v>1341.5729166666667</v>
      </c>
      <c r="S250" s="2">
        <f>Employee_Data[[#This Row],[Annual Salary]]/12</f>
        <v>10732.583333333334</v>
      </c>
    </row>
    <row r="251" spans="1:19" x14ac:dyDescent="0.3">
      <c r="A251" t="s">
        <v>581</v>
      </c>
      <c r="B251" t="s">
        <v>582</v>
      </c>
      <c r="C251" t="s">
        <v>69</v>
      </c>
      <c r="D251" t="s">
        <v>4</v>
      </c>
      <c r="E251" t="s">
        <v>36</v>
      </c>
      <c r="F251" t="s">
        <v>42</v>
      </c>
      <c r="G251" t="s">
        <v>43</v>
      </c>
      <c r="H251">
        <v>34</v>
      </c>
      <c r="I251" s="1">
        <v>42280</v>
      </c>
      <c r="J251" s="2">
        <v>126898</v>
      </c>
      <c r="K251" s="3">
        <v>0.1</v>
      </c>
      <c r="L251" t="s">
        <v>137</v>
      </c>
      <c r="M251" t="s">
        <v>289</v>
      </c>
      <c r="N251" s="2">
        <f>Employee_Data[[#This Row],[Basic Salary]]*10%</f>
        <v>1057.4833333333333</v>
      </c>
      <c r="O251" s="4">
        <f>Employee_Data[[#This Row],[Basic Salary]]*7.5%</f>
        <v>793.11250000000007</v>
      </c>
      <c r="P251" s="2">
        <f>Employee_Data[[#This Row],[Basic Salary]]*3%</f>
        <v>317.245</v>
      </c>
      <c r="Q251" s="2">
        <f>SUM(Employee_Data[[#This Row],[Basic Salary]],Employee_Data[[#This Row],[HRA]],Employee_Data[[#This Row],[MA]],Employee_Data[[#This Row],[TA]])</f>
        <v>12742.674166666668</v>
      </c>
      <c r="R251" s="4">
        <f>Employee_Data[[#This Row],[Basic Salary]]*12.5%</f>
        <v>1321.8541666666667</v>
      </c>
      <c r="S251" s="2">
        <f>Employee_Data[[#This Row],[Annual Salary]]/12</f>
        <v>10574.833333333334</v>
      </c>
    </row>
    <row r="252" spans="1:19" x14ac:dyDescent="0.3">
      <c r="A252" t="s">
        <v>583</v>
      </c>
      <c r="B252" t="s">
        <v>584</v>
      </c>
      <c r="C252" t="s">
        <v>355</v>
      </c>
      <c r="D252" t="s">
        <v>4</v>
      </c>
      <c r="E252" t="s">
        <v>56</v>
      </c>
      <c r="F252" t="s">
        <v>42</v>
      </c>
      <c r="G252" t="s">
        <v>43</v>
      </c>
      <c r="H252">
        <v>53</v>
      </c>
      <c r="I252" s="1">
        <v>43934</v>
      </c>
      <c r="J252" s="2">
        <v>93053</v>
      </c>
      <c r="K252" s="3">
        <v>0</v>
      </c>
      <c r="L252" t="s">
        <v>137</v>
      </c>
      <c r="M252" t="s">
        <v>183</v>
      </c>
      <c r="N252" s="2">
        <f>Employee_Data[[#This Row],[Basic Salary]]*10%</f>
        <v>775.44166666666672</v>
      </c>
      <c r="O252" s="4">
        <f>Employee_Data[[#This Row],[Basic Salary]]*7.5%</f>
        <v>581.58124999999995</v>
      </c>
      <c r="P252" s="2">
        <f>Employee_Data[[#This Row],[Basic Salary]]*3%</f>
        <v>232.63249999999999</v>
      </c>
      <c r="Q252" s="2">
        <f>SUM(Employee_Data[[#This Row],[Basic Salary]],Employee_Data[[#This Row],[HRA]],Employee_Data[[#This Row],[MA]],Employee_Data[[#This Row],[TA]])</f>
        <v>9344.0720833333326</v>
      </c>
      <c r="R252" s="4">
        <f>Employee_Data[[#This Row],[Basic Salary]]*12.5%</f>
        <v>969.30208333333337</v>
      </c>
      <c r="S252" s="2">
        <f>Employee_Data[[#This Row],[Annual Salary]]/12</f>
        <v>7754.416666666667</v>
      </c>
    </row>
    <row r="253" spans="1:19" x14ac:dyDescent="0.3">
      <c r="A253" t="s">
        <v>585</v>
      </c>
      <c r="B253" t="s">
        <v>586</v>
      </c>
      <c r="C253" t="s">
        <v>73</v>
      </c>
      <c r="D253" t="s">
        <v>4</v>
      </c>
      <c r="E253" t="s">
        <v>31</v>
      </c>
      <c r="F253" t="s">
        <v>42</v>
      </c>
      <c r="G253" t="s">
        <v>24</v>
      </c>
      <c r="H253">
        <v>48</v>
      </c>
      <c r="I253" s="1">
        <v>40805</v>
      </c>
      <c r="J253" s="2">
        <v>50513</v>
      </c>
      <c r="K253" s="3">
        <v>0</v>
      </c>
      <c r="L253" t="s">
        <v>25</v>
      </c>
      <c r="M253" t="s">
        <v>44</v>
      </c>
      <c r="N253" s="2">
        <f>Employee_Data[[#This Row],[Basic Salary]]*10%</f>
        <v>420.94166666666672</v>
      </c>
      <c r="O253" s="4">
        <f>Employee_Data[[#This Row],[Basic Salary]]*7.5%</f>
        <v>315.70625000000001</v>
      </c>
      <c r="P253" s="2">
        <f>Employee_Data[[#This Row],[Basic Salary]]*3%</f>
        <v>126.2825</v>
      </c>
      <c r="Q253" s="2">
        <f>SUM(Employee_Data[[#This Row],[Basic Salary]],Employee_Data[[#This Row],[HRA]],Employee_Data[[#This Row],[MA]],Employee_Data[[#This Row],[TA]])</f>
        <v>5072.347083333334</v>
      </c>
      <c r="R253" s="4">
        <f>Employee_Data[[#This Row],[Basic Salary]]*12.5%</f>
        <v>526.17708333333337</v>
      </c>
      <c r="S253" s="2">
        <f>Employee_Data[[#This Row],[Annual Salary]]/12</f>
        <v>4209.416666666667</v>
      </c>
    </row>
    <row r="254" spans="1:19" x14ac:dyDescent="0.3">
      <c r="A254" t="s">
        <v>587</v>
      </c>
      <c r="B254" t="s">
        <v>588</v>
      </c>
      <c r="C254" t="s">
        <v>405</v>
      </c>
      <c r="D254" t="s">
        <v>30</v>
      </c>
      <c r="E254" t="s">
        <v>31</v>
      </c>
      <c r="F254" t="s">
        <v>42</v>
      </c>
      <c r="G254" t="s">
        <v>43</v>
      </c>
      <c r="H254">
        <v>43</v>
      </c>
      <c r="I254" s="1">
        <v>42862</v>
      </c>
      <c r="J254" s="2">
        <v>86533</v>
      </c>
      <c r="K254" s="3">
        <v>0</v>
      </c>
      <c r="L254" t="s">
        <v>25</v>
      </c>
      <c r="M254" t="s">
        <v>26</v>
      </c>
      <c r="N254" s="2">
        <f>Employee_Data[[#This Row],[Basic Salary]]*10%</f>
        <v>721.10833333333335</v>
      </c>
      <c r="O254" s="4">
        <f>Employee_Data[[#This Row],[Basic Salary]]*7.5%</f>
        <v>540.83124999999995</v>
      </c>
      <c r="P254" s="2">
        <f>Employee_Data[[#This Row],[Basic Salary]]*3%</f>
        <v>216.33249999999998</v>
      </c>
      <c r="Q254" s="2">
        <f>SUM(Employee_Data[[#This Row],[Basic Salary]],Employee_Data[[#This Row],[HRA]],Employee_Data[[#This Row],[MA]],Employee_Data[[#This Row],[TA]])</f>
        <v>8689.3554166666672</v>
      </c>
      <c r="R254" s="4">
        <f>Employee_Data[[#This Row],[Basic Salary]]*12.5%</f>
        <v>901.38541666666663</v>
      </c>
      <c r="S254" s="2">
        <f>Employee_Data[[#This Row],[Annual Salary]]/12</f>
        <v>7211.083333333333</v>
      </c>
    </row>
    <row r="255" spans="1:19" x14ac:dyDescent="0.3">
      <c r="A255" t="s">
        <v>589</v>
      </c>
      <c r="B255" t="s">
        <v>590</v>
      </c>
      <c r="C255" t="s">
        <v>134</v>
      </c>
      <c r="D255" t="s">
        <v>21</v>
      </c>
      <c r="E255" t="s">
        <v>36</v>
      </c>
      <c r="F255" t="s">
        <v>42</v>
      </c>
      <c r="G255" t="s">
        <v>24</v>
      </c>
      <c r="H255">
        <v>60</v>
      </c>
      <c r="I255" s="1">
        <v>35719</v>
      </c>
      <c r="J255" s="2">
        <v>72806</v>
      </c>
      <c r="K255" s="3">
        <v>0</v>
      </c>
      <c r="L255" t="s">
        <v>37</v>
      </c>
      <c r="M255" t="s">
        <v>57</v>
      </c>
      <c r="N255" s="2">
        <f>Employee_Data[[#This Row],[Basic Salary]]*10%</f>
        <v>606.7166666666667</v>
      </c>
      <c r="O255" s="4">
        <f>Employee_Data[[#This Row],[Basic Salary]]*7.5%</f>
        <v>455.03750000000002</v>
      </c>
      <c r="P255" s="2">
        <f>Employee_Data[[#This Row],[Basic Salary]]*3%</f>
        <v>182.01500000000001</v>
      </c>
      <c r="Q255" s="2">
        <f>SUM(Employee_Data[[#This Row],[Basic Salary]],Employee_Data[[#This Row],[HRA]],Employee_Data[[#This Row],[MA]],Employee_Data[[#This Row],[TA]])</f>
        <v>7310.9358333333339</v>
      </c>
      <c r="R255" s="4">
        <f>Employee_Data[[#This Row],[Basic Salary]]*12.5%</f>
        <v>758.39583333333337</v>
      </c>
      <c r="S255" s="2">
        <f>Employee_Data[[#This Row],[Annual Salary]]/12</f>
        <v>6067.166666666667</v>
      </c>
    </row>
    <row r="256" spans="1:19" x14ac:dyDescent="0.3">
      <c r="A256" t="s">
        <v>591</v>
      </c>
      <c r="B256" t="s">
        <v>592</v>
      </c>
      <c r="C256" t="s">
        <v>89</v>
      </c>
      <c r="D256" t="s">
        <v>30</v>
      </c>
      <c r="E256" t="s">
        <v>56</v>
      </c>
      <c r="F256" t="s">
        <v>42</v>
      </c>
      <c r="G256" t="s">
        <v>84</v>
      </c>
      <c r="H256">
        <v>42</v>
      </c>
      <c r="I256" s="1">
        <v>43508</v>
      </c>
      <c r="J256" s="2">
        <v>258115</v>
      </c>
      <c r="K256" s="3">
        <v>0.36</v>
      </c>
      <c r="L256" t="s">
        <v>25</v>
      </c>
      <c r="M256" t="s">
        <v>48</v>
      </c>
      <c r="N256" s="2">
        <f>Employee_Data[[#This Row],[Basic Salary]]*10%</f>
        <v>2150.9583333333335</v>
      </c>
      <c r="O256" s="4">
        <f>Employee_Data[[#This Row],[Basic Salary]]*7.5%</f>
        <v>1613.2187499999998</v>
      </c>
      <c r="P256" s="2">
        <f>Employee_Data[[#This Row],[Basic Salary]]*3%</f>
        <v>645.28749999999991</v>
      </c>
      <c r="Q256" s="2">
        <f>SUM(Employee_Data[[#This Row],[Basic Salary]],Employee_Data[[#This Row],[HRA]],Employee_Data[[#This Row],[MA]],Employee_Data[[#This Row],[TA]])</f>
        <v>25919.047916666663</v>
      </c>
      <c r="R256" s="4">
        <f>Employee_Data[[#This Row],[Basic Salary]]*12.5%</f>
        <v>2688.6979166666665</v>
      </c>
      <c r="S256" s="2">
        <f>Employee_Data[[#This Row],[Annual Salary]]/12</f>
        <v>21509.583333333332</v>
      </c>
    </row>
    <row r="257" spans="1:19" x14ac:dyDescent="0.3">
      <c r="A257" t="s">
        <v>593</v>
      </c>
      <c r="B257" t="s">
        <v>594</v>
      </c>
      <c r="C257" t="s">
        <v>164</v>
      </c>
      <c r="D257" t="s">
        <v>4</v>
      </c>
      <c r="E257" t="s">
        <v>22</v>
      </c>
      <c r="F257" t="s">
        <v>23</v>
      </c>
      <c r="G257" t="s">
        <v>43</v>
      </c>
      <c r="H257">
        <v>52</v>
      </c>
      <c r="I257" s="1">
        <v>39569</v>
      </c>
      <c r="J257" s="2">
        <v>63444</v>
      </c>
      <c r="K257" s="3">
        <v>0</v>
      </c>
      <c r="L257" t="s">
        <v>25</v>
      </c>
      <c r="M257" t="s">
        <v>70</v>
      </c>
      <c r="N257" s="2">
        <f>Employee_Data[[#This Row],[Basic Salary]]*10%</f>
        <v>528.70000000000005</v>
      </c>
      <c r="O257" s="4">
        <f>Employee_Data[[#This Row],[Basic Salary]]*7.5%</f>
        <v>396.52499999999998</v>
      </c>
      <c r="P257" s="2">
        <f>Employee_Data[[#This Row],[Basic Salary]]*3%</f>
        <v>158.60999999999999</v>
      </c>
      <c r="Q257" s="2">
        <f>SUM(Employee_Data[[#This Row],[Basic Salary]],Employee_Data[[#This Row],[HRA]],Employee_Data[[#This Row],[MA]],Employee_Data[[#This Row],[TA]])</f>
        <v>6370.8349999999991</v>
      </c>
      <c r="R257" s="4">
        <f>Employee_Data[[#This Row],[Basic Salary]]*12.5%</f>
        <v>660.875</v>
      </c>
      <c r="S257" s="2">
        <f>Employee_Data[[#This Row],[Annual Salary]]/12</f>
        <v>5287</v>
      </c>
    </row>
    <row r="258" spans="1:19" x14ac:dyDescent="0.3">
      <c r="A258" t="s">
        <v>595</v>
      </c>
      <c r="B258" t="s">
        <v>596</v>
      </c>
      <c r="C258" t="s">
        <v>268</v>
      </c>
      <c r="D258" t="s">
        <v>21</v>
      </c>
      <c r="E258" t="s">
        <v>56</v>
      </c>
      <c r="F258" t="s">
        <v>23</v>
      </c>
      <c r="G258" t="s">
        <v>66</v>
      </c>
      <c r="H258">
        <v>50</v>
      </c>
      <c r="I258" s="1">
        <v>36212</v>
      </c>
      <c r="J258" s="2">
        <v>96099</v>
      </c>
      <c r="K258" s="3">
        <v>0.11</v>
      </c>
      <c r="L258" t="s">
        <v>25</v>
      </c>
      <c r="M258" t="s">
        <v>32</v>
      </c>
      <c r="N258" s="2">
        <f>Employee_Data[[#This Row],[Basic Salary]]*10%</f>
        <v>800.82500000000005</v>
      </c>
      <c r="O258" s="4">
        <f>Employee_Data[[#This Row],[Basic Salary]]*7.5%</f>
        <v>600.61874999999998</v>
      </c>
      <c r="P258" s="2">
        <f>Employee_Data[[#This Row],[Basic Salary]]*3%</f>
        <v>240.2475</v>
      </c>
      <c r="Q258" s="2">
        <f>SUM(Employee_Data[[#This Row],[Basic Salary]],Employee_Data[[#This Row],[HRA]],Employee_Data[[#This Row],[MA]],Employee_Data[[#This Row],[TA]])</f>
        <v>9649.9412499999999</v>
      </c>
      <c r="R258" s="4">
        <f>Employee_Data[[#This Row],[Basic Salary]]*12.5%</f>
        <v>1001.03125</v>
      </c>
      <c r="S258" s="2">
        <f>Employee_Data[[#This Row],[Annual Salary]]/12</f>
        <v>8008.25</v>
      </c>
    </row>
    <row r="259" spans="1:19" x14ac:dyDescent="0.3">
      <c r="A259" t="s">
        <v>597</v>
      </c>
      <c r="B259" t="s">
        <v>598</v>
      </c>
      <c r="C259" t="s">
        <v>41</v>
      </c>
      <c r="D259" t="s">
        <v>4</v>
      </c>
      <c r="E259" t="s">
        <v>22</v>
      </c>
      <c r="F259" t="s">
        <v>42</v>
      </c>
      <c r="G259" t="s">
        <v>43</v>
      </c>
      <c r="H259">
        <v>37</v>
      </c>
      <c r="I259" s="1">
        <v>39873</v>
      </c>
      <c r="J259" s="2">
        <v>92849</v>
      </c>
      <c r="K259" s="3">
        <v>0</v>
      </c>
      <c r="L259" t="s">
        <v>25</v>
      </c>
      <c r="M259" t="s">
        <v>32</v>
      </c>
      <c r="N259" s="2">
        <f>Employee_Data[[#This Row],[Basic Salary]]*10%</f>
        <v>773.74166666666679</v>
      </c>
      <c r="O259" s="4">
        <f>Employee_Data[[#This Row],[Basic Salary]]*7.5%</f>
        <v>580.30624999999998</v>
      </c>
      <c r="P259" s="2">
        <f>Employee_Data[[#This Row],[Basic Salary]]*3%</f>
        <v>232.1225</v>
      </c>
      <c r="Q259" s="2">
        <f>SUM(Employee_Data[[#This Row],[Basic Salary]],Employee_Data[[#This Row],[HRA]],Employee_Data[[#This Row],[MA]],Employee_Data[[#This Row],[TA]])</f>
        <v>9323.587083333332</v>
      </c>
      <c r="R259" s="4">
        <f>Employee_Data[[#This Row],[Basic Salary]]*12.5%</f>
        <v>967.17708333333337</v>
      </c>
      <c r="S259" s="2">
        <f>Employee_Data[[#This Row],[Annual Salary]]/12</f>
        <v>7737.416666666667</v>
      </c>
    </row>
    <row r="260" spans="1:19" x14ac:dyDescent="0.3">
      <c r="A260" t="s">
        <v>599</v>
      </c>
      <c r="B260" t="s">
        <v>600</v>
      </c>
      <c r="C260" t="s">
        <v>405</v>
      </c>
      <c r="D260" t="s">
        <v>30</v>
      </c>
      <c r="E260" t="s">
        <v>22</v>
      </c>
      <c r="F260" t="s">
        <v>23</v>
      </c>
      <c r="G260" t="s">
        <v>24</v>
      </c>
      <c r="H260">
        <v>58</v>
      </c>
      <c r="I260" s="1">
        <v>41940</v>
      </c>
      <c r="J260" s="2">
        <v>85094</v>
      </c>
      <c r="K260" s="3">
        <v>0</v>
      </c>
      <c r="L260" t="s">
        <v>37</v>
      </c>
      <c r="M260" t="s">
        <v>62</v>
      </c>
      <c r="N260" s="2">
        <f>Employee_Data[[#This Row],[Basic Salary]]*10%</f>
        <v>709.11666666666679</v>
      </c>
      <c r="O260" s="4">
        <f>Employee_Data[[#This Row],[Basic Salary]]*7.5%</f>
        <v>531.83749999999998</v>
      </c>
      <c r="P260" s="2">
        <f>Employee_Data[[#This Row],[Basic Salary]]*3%</f>
        <v>212.73500000000001</v>
      </c>
      <c r="Q260" s="2">
        <f>SUM(Employee_Data[[#This Row],[Basic Salary]],Employee_Data[[#This Row],[HRA]],Employee_Data[[#This Row],[MA]],Employee_Data[[#This Row],[TA]])</f>
        <v>8544.8558333333349</v>
      </c>
      <c r="R260" s="4">
        <f>Employee_Data[[#This Row],[Basic Salary]]*12.5%</f>
        <v>886.39583333333337</v>
      </c>
      <c r="S260" s="2">
        <f>Employee_Data[[#This Row],[Annual Salary]]/12</f>
        <v>7091.166666666667</v>
      </c>
    </row>
    <row r="261" spans="1:19" x14ac:dyDescent="0.3">
      <c r="A261" t="s">
        <v>601</v>
      </c>
      <c r="B261" t="s">
        <v>602</v>
      </c>
      <c r="C261" t="s">
        <v>83</v>
      </c>
      <c r="D261" t="s">
        <v>80</v>
      </c>
      <c r="E261" t="s">
        <v>31</v>
      </c>
      <c r="F261" t="s">
        <v>42</v>
      </c>
      <c r="G261" t="s">
        <v>43</v>
      </c>
      <c r="H261">
        <v>39</v>
      </c>
      <c r="I261" s="1">
        <v>42901</v>
      </c>
      <c r="J261" s="2">
        <v>156224</v>
      </c>
      <c r="K261" s="3">
        <v>0.14000000000000001</v>
      </c>
      <c r="L261" t="s">
        <v>137</v>
      </c>
      <c r="M261" t="s">
        <v>289</v>
      </c>
      <c r="N261" s="2">
        <f>Employee_Data[[#This Row],[Basic Salary]]*10%</f>
        <v>1301.8666666666668</v>
      </c>
      <c r="O261" s="4">
        <f>Employee_Data[[#This Row],[Basic Salary]]*7.5%</f>
        <v>976.39999999999986</v>
      </c>
      <c r="P261" s="2">
        <f>Employee_Data[[#This Row],[Basic Salary]]*3%</f>
        <v>390.55999999999995</v>
      </c>
      <c r="Q261" s="2">
        <f>SUM(Employee_Data[[#This Row],[Basic Salary]],Employee_Data[[#This Row],[HRA]],Employee_Data[[#This Row],[MA]],Employee_Data[[#This Row],[TA]])</f>
        <v>15687.493333333332</v>
      </c>
      <c r="R261" s="4">
        <f>Employee_Data[[#This Row],[Basic Salary]]*12.5%</f>
        <v>1627.3333333333333</v>
      </c>
      <c r="S261" s="2">
        <f>Employee_Data[[#This Row],[Annual Salary]]/12</f>
        <v>13018.666666666666</v>
      </c>
    </row>
    <row r="262" spans="1:19" x14ac:dyDescent="0.3">
      <c r="A262" t="s">
        <v>603</v>
      </c>
      <c r="B262" t="s">
        <v>604</v>
      </c>
      <c r="C262" t="s">
        <v>89</v>
      </c>
      <c r="D262" t="s">
        <v>55</v>
      </c>
      <c r="E262" t="s">
        <v>31</v>
      </c>
      <c r="F262" t="s">
        <v>23</v>
      </c>
      <c r="G262" t="s">
        <v>24</v>
      </c>
      <c r="H262">
        <v>50</v>
      </c>
      <c r="I262" s="1">
        <v>35170</v>
      </c>
      <c r="J262" s="2">
        <v>245920</v>
      </c>
      <c r="K262" s="3">
        <v>0.36</v>
      </c>
      <c r="L262" t="s">
        <v>25</v>
      </c>
      <c r="M262" t="s">
        <v>26</v>
      </c>
      <c r="N262" s="2">
        <f>Employee_Data[[#This Row],[Basic Salary]]*10%</f>
        <v>2049.3333333333335</v>
      </c>
      <c r="O262" s="4">
        <f>Employee_Data[[#This Row],[Basic Salary]]*7.5%</f>
        <v>1536.9999999999998</v>
      </c>
      <c r="P262" s="2">
        <f>Employee_Data[[#This Row],[Basic Salary]]*3%</f>
        <v>614.79999999999995</v>
      </c>
      <c r="Q262" s="2">
        <f>SUM(Employee_Data[[#This Row],[Basic Salary]],Employee_Data[[#This Row],[HRA]],Employee_Data[[#This Row],[MA]],Employee_Data[[#This Row],[TA]])</f>
        <v>24694.466666666664</v>
      </c>
      <c r="R262" s="4">
        <f>Employee_Data[[#This Row],[Basic Salary]]*12.5%</f>
        <v>2561.6666666666665</v>
      </c>
      <c r="S262" s="2">
        <f>Employee_Data[[#This Row],[Annual Salary]]/12</f>
        <v>20493.333333333332</v>
      </c>
    </row>
    <row r="263" spans="1:19" x14ac:dyDescent="0.3">
      <c r="A263" t="s">
        <v>605</v>
      </c>
      <c r="B263" t="s">
        <v>86</v>
      </c>
      <c r="C263" t="s">
        <v>60</v>
      </c>
      <c r="D263" t="s">
        <v>80</v>
      </c>
      <c r="E263" t="s">
        <v>36</v>
      </c>
      <c r="F263" t="s">
        <v>42</v>
      </c>
      <c r="G263" t="s">
        <v>24</v>
      </c>
      <c r="H263">
        <v>51</v>
      </c>
      <c r="I263" s="1">
        <v>39147</v>
      </c>
      <c r="J263" s="2">
        <v>50214</v>
      </c>
      <c r="K263" s="3">
        <v>0</v>
      </c>
      <c r="L263" t="s">
        <v>37</v>
      </c>
      <c r="M263" t="s">
        <v>111</v>
      </c>
      <c r="N263" s="2">
        <f>Employee_Data[[#This Row],[Basic Salary]]*10%</f>
        <v>418.45000000000005</v>
      </c>
      <c r="O263" s="4">
        <f>Employee_Data[[#This Row],[Basic Salary]]*7.5%</f>
        <v>313.83749999999998</v>
      </c>
      <c r="P263" s="2">
        <f>Employee_Data[[#This Row],[Basic Salary]]*3%</f>
        <v>125.535</v>
      </c>
      <c r="Q263" s="2">
        <f>SUM(Employee_Data[[#This Row],[Basic Salary]],Employee_Data[[#This Row],[HRA]],Employee_Data[[#This Row],[MA]],Employee_Data[[#This Row],[TA]])</f>
        <v>5042.3224999999993</v>
      </c>
      <c r="R263" s="4">
        <f>Employee_Data[[#This Row],[Basic Salary]]*12.5%</f>
        <v>523.0625</v>
      </c>
      <c r="S263" s="2">
        <f>Employee_Data[[#This Row],[Annual Salary]]/12</f>
        <v>4184.5</v>
      </c>
    </row>
    <row r="264" spans="1:19" x14ac:dyDescent="0.3">
      <c r="A264" t="s">
        <v>606</v>
      </c>
      <c r="B264" t="s">
        <v>607</v>
      </c>
      <c r="C264" t="s">
        <v>54</v>
      </c>
      <c r="D264" t="s">
        <v>80</v>
      </c>
      <c r="E264" t="s">
        <v>56</v>
      </c>
      <c r="F264" t="s">
        <v>23</v>
      </c>
      <c r="G264" t="s">
        <v>24</v>
      </c>
      <c r="H264">
        <v>31</v>
      </c>
      <c r="I264" s="1">
        <v>42015</v>
      </c>
      <c r="J264" s="2">
        <v>79713</v>
      </c>
      <c r="K264" s="3">
        <v>0</v>
      </c>
      <c r="L264" t="s">
        <v>37</v>
      </c>
      <c r="M264" t="s">
        <v>111</v>
      </c>
      <c r="N264" s="2">
        <f>Employee_Data[[#This Row],[Basic Salary]]*10%</f>
        <v>664.27500000000009</v>
      </c>
      <c r="O264" s="4">
        <f>Employee_Data[[#This Row],[Basic Salary]]*7.5%</f>
        <v>498.20624999999995</v>
      </c>
      <c r="P264" s="2">
        <f>Employee_Data[[#This Row],[Basic Salary]]*3%</f>
        <v>199.2825</v>
      </c>
      <c r="Q264" s="2">
        <f>SUM(Employee_Data[[#This Row],[Basic Salary]],Employee_Data[[#This Row],[HRA]],Employee_Data[[#This Row],[MA]],Employee_Data[[#This Row],[TA]])</f>
        <v>8004.5137500000001</v>
      </c>
      <c r="R264" s="4">
        <f>Employee_Data[[#This Row],[Basic Salary]]*12.5%</f>
        <v>830.34375</v>
      </c>
      <c r="S264" s="2">
        <f>Employee_Data[[#This Row],[Annual Salary]]/12</f>
        <v>6642.75</v>
      </c>
    </row>
    <row r="265" spans="1:19" x14ac:dyDescent="0.3">
      <c r="A265" t="s">
        <v>608</v>
      </c>
      <c r="B265" t="s">
        <v>609</v>
      </c>
      <c r="C265" t="s">
        <v>47</v>
      </c>
      <c r="D265" t="s">
        <v>4</v>
      </c>
      <c r="E265" t="s">
        <v>36</v>
      </c>
      <c r="F265" t="s">
        <v>42</v>
      </c>
      <c r="G265" t="s">
        <v>43</v>
      </c>
      <c r="H265">
        <v>52</v>
      </c>
      <c r="I265" s="1">
        <v>36381</v>
      </c>
      <c r="J265" s="2">
        <v>166699</v>
      </c>
      <c r="K265" s="3">
        <v>0.27</v>
      </c>
      <c r="L265" t="s">
        <v>137</v>
      </c>
      <c r="M265" t="s">
        <v>183</v>
      </c>
      <c r="N265" s="2">
        <f>Employee_Data[[#This Row],[Basic Salary]]*10%</f>
        <v>1389.1583333333335</v>
      </c>
      <c r="O265" s="4">
        <f>Employee_Data[[#This Row],[Basic Salary]]*7.5%</f>
        <v>1041.8687500000001</v>
      </c>
      <c r="P265" s="2">
        <f>Employee_Data[[#This Row],[Basic Salary]]*3%</f>
        <v>416.7475</v>
      </c>
      <c r="Q265" s="2">
        <f>SUM(Employee_Data[[#This Row],[Basic Salary]],Employee_Data[[#This Row],[HRA]],Employee_Data[[#This Row],[MA]],Employee_Data[[#This Row],[TA]])</f>
        <v>16739.357916666668</v>
      </c>
      <c r="R265" s="4">
        <f>Employee_Data[[#This Row],[Basic Salary]]*12.5%</f>
        <v>1736.4479166666667</v>
      </c>
      <c r="S265" s="2">
        <f>Employee_Data[[#This Row],[Annual Salary]]/12</f>
        <v>13891.583333333334</v>
      </c>
    </row>
    <row r="266" spans="1:19" x14ac:dyDescent="0.3">
      <c r="A266" t="s">
        <v>610</v>
      </c>
      <c r="B266" t="s">
        <v>611</v>
      </c>
      <c r="C266" t="s">
        <v>35</v>
      </c>
      <c r="D266" t="s">
        <v>4</v>
      </c>
      <c r="E266" t="s">
        <v>36</v>
      </c>
      <c r="F266" t="s">
        <v>42</v>
      </c>
      <c r="G266" t="s">
        <v>66</v>
      </c>
      <c r="H266">
        <v>63</v>
      </c>
      <c r="I266" s="1">
        <v>40532</v>
      </c>
      <c r="J266" s="2">
        <v>78788</v>
      </c>
      <c r="K266" s="3">
        <v>0</v>
      </c>
      <c r="L266" t="s">
        <v>25</v>
      </c>
      <c r="M266" t="s">
        <v>44</v>
      </c>
      <c r="N266" s="2">
        <f>Employee_Data[[#This Row],[Basic Salary]]*10%</f>
        <v>656.56666666666672</v>
      </c>
      <c r="O266" s="4">
        <f>Employee_Data[[#This Row],[Basic Salary]]*7.5%</f>
        <v>492.42500000000001</v>
      </c>
      <c r="P266" s="2">
        <f>Employee_Data[[#This Row],[Basic Salary]]*3%</f>
        <v>196.97</v>
      </c>
      <c r="Q266" s="2">
        <f>SUM(Employee_Data[[#This Row],[Basic Salary]],Employee_Data[[#This Row],[HRA]],Employee_Data[[#This Row],[MA]],Employee_Data[[#This Row],[TA]])</f>
        <v>7911.628333333334</v>
      </c>
      <c r="R266" s="4">
        <f>Employee_Data[[#This Row],[Basic Salary]]*12.5%</f>
        <v>820.70833333333337</v>
      </c>
      <c r="S266" s="2">
        <f>Employee_Data[[#This Row],[Annual Salary]]/12</f>
        <v>6565.666666666667</v>
      </c>
    </row>
    <row r="267" spans="1:19" x14ac:dyDescent="0.3">
      <c r="A267" t="s">
        <v>612</v>
      </c>
      <c r="B267" t="s">
        <v>613</v>
      </c>
      <c r="C267" t="s">
        <v>83</v>
      </c>
      <c r="D267" t="s">
        <v>55</v>
      </c>
      <c r="E267" t="s">
        <v>36</v>
      </c>
      <c r="F267" t="s">
        <v>23</v>
      </c>
      <c r="G267" t="s">
        <v>84</v>
      </c>
      <c r="H267">
        <v>28</v>
      </c>
      <c r="I267" s="1">
        <v>44914</v>
      </c>
      <c r="J267" s="2">
        <v>142797</v>
      </c>
      <c r="K267" s="3">
        <v>0.1</v>
      </c>
      <c r="L267" t="s">
        <v>25</v>
      </c>
      <c r="M267" t="s">
        <v>44</v>
      </c>
      <c r="N267" s="2">
        <f>Employee_Data[[#This Row],[Basic Salary]]*10%</f>
        <v>1189.9750000000001</v>
      </c>
      <c r="O267" s="4">
        <f>Employee_Data[[#This Row],[Basic Salary]]*7.5%</f>
        <v>892.48124999999993</v>
      </c>
      <c r="P267" s="2">
        <f>Employee_Data[[#This Row],[Basic Salary]]*3%</f>
        <v>356.99250000000001</v>
      </c>
      <c r="Q267" s="2">
        <f>SUM(Employee_Data[[#This Row],[Basic Salary]],Employee_Data[[#This Row],[HRA]],Employee_Data[[#This Row],[MA]],Employee_Data[[#This Row],[TA]])</f>
        <v>14339.198750000001</v>
      </c>
      <c r="R267" s="4">
        <f>Employee_Data[[#This Row],[Basic Salary]]*12.5%</f>
        <v>1487.46875</v>
      </c>
      <c r="S267" s="2">
        <f>Employee_Data[[#This Row],[Annual Salary]]/12</f>
        <v>11899.75</v>
      </c>
    </row>
    <row r="268" spans="1:19" x14ac:dyDescent="0.3">
      <c r="A268" t="s">
        <v>614</v>
      </c>
      <c r="B268" t="s">
        <v>615</v>
      </c>
      <c r="C268" t="s">
        <v>89</v>
      </c>
      <c r="D268" t="s">
        <v>61</v>
      </c>
      <c r="E268" t="s">
        <v>36</v>
      </c>
      <c r="F268" t="s">
        <v>42</v>
      </c>
      <c r="G268" t="s">
        <v>43</v>
      </c>
      <c r="H268">
        <v>39</v>
      </c>
      <c r="I268" s="1">
        <v>41106</v>
      </c>
      <c r="J268" s="2">
        <v>187516</v>
      </c>
      <c r="K268" s="3">
        <v>0.35</v>
      </c>
      <c r="L268" t="s">
        <v>137</v>
      </c>
      <c r="M268" t="s">
        <v>183</v>
      </c>
      <c r="N268" s="2">
        <f>Employee_Data[[#This Row],[Basic Salary]]*10%</f>
        <v>1562.6333333333334</v>
      </c>
      <c r="O268" s="4">
        <f>Employee_Data[[#This Row],[Basic Salary]]*7.5%</f>
        <v>1171.9749999999999</v>
      </c>
      <c r="P268" s="2">
        <f>Employee_Data[[#This Row],[Basic Salary]]*3%</f>
        <v>468.79</v>
      </c>
      <c r="Q268" s="2">
        <f>SUM(Employee_Data[[#This Row],[Basic Salary]],Employee_Data[[#This Row],[HRA]],Employee_Data[[#This Row],[MA]],Employee_Data[[#This Row],[TA]])</f>
        <v>18829.731666666667</v>
      </c>
      <c r="R268" s="4">
        <f>Employee_Data[[#This Row],[Basic Salary]]*12.5%</f>
        <v>1953.2916666666667</v>
      </c>
      <c r="S268" s="2">
        <f>Employee_Data[[#This Row],[Annual Salary]]/12</f>
        <v>15626.333333333334</v>
      </c>
    </row>
    <row r="269" spans="1:19" x14ac:dyDescent="0.3">
      <c r="A269" t="s">
        <v>616</v>
      </c>
      <c r="B269" t="s">
        <v>617</v>
      </c>
      <c r="C269" t="s">
        <v>47</v>
      </c>
      <c r="D269" t="s">
        <v>61</v>
      </c>
      <c r="E269" t="s">
        <v>56</v>
      </c>
      <c r="F269" t="s">
        <v>42</v>
      </c>
      <c r="G269" t="s">
        <v>43</v>
      </c>
      <c r="H269">
        <v>36</v>
      </c>
      <c r="I269" s="1">
        <v>41538</v>
      </c>
      <c r="J269" s="2">
        <v>156029</v>
      </c>
      <c r="K269" s="3">
        <v>0.15</v>
      </c>
      <c r="L269" t="s">
        <v>25</v>
      </c>
      <c r="M269" t="s">
        <v>26</v>
      </c>
      <c r="N269" s="2">
        <f>Employee_Data[[#This Row],[Basic Salary]]*10%</f>
        <v>1300.2416666666668</v>
      </c>
      <c r="O269" s="4">
        <f>Employee_Data[[#This Row],[Basic Salary]]*7.5%</f>
        <v>975.18124999999986</v>
      </c>
      <c r="P269" s="2">
        <f>Employee_Data[[#This Row],[Basic Salary]]*3%</f>
        <v>390.07249999999999</v>
      </c>
      <c r="Q269" s="2">
        <f>SUM(Employee_Data[[#This Row],[Basic Salary]],Employee_Data[[#This Row],[HRA]],Employee_Data[[#This Row],[MA]],Employee_Data[[#This Row],[TA]])</f>
        <v>15667.912083333333</v>
      </c>
      <c r="R269" s="4">
        <f>Employee_Data[[#This Row],[Basic Salary]]*12.5%</f>
        <v>1625.3020833333333</v>
      </c>
      <c r="S269" s="2">
        <f>Employee_Data[[#This Row],[Annual Salary]]/12</f>
        <v>13002.416666666666</v>
      </c>
    </row>
    <row r="270" spans="1:19" x14ac:dyDescent="0.3">
      <c r="A270" t="s">
        <v>618</v>
      </c>
      <c r="B270" t="s">
        <v>619</v>
      </c>
      <c r="C270" t="s">
        <v>83</v>
      </c>
      <c r="D270" t="s">
        <v>55</v>
      </c>
      <c r="E270" t="s">
        <v>56</v>
      </c>
      <c r="F270" t="s">
        <v>42</v>
      </c>
      <c r="G270" t="s">
        <v>43</v>
      </c>
      <c r="H270">
        <v>63</v>
      </c>
      <c r="I270" s="1">
        <v>36161</v>
      </c>
      <c r="J270" s="2">
        <v>149582</v>
      </c>
      <c r="K270" s="3">
        <v>0.14000000000000001</v>
      </c>
      <c r="L270" t="s">
        <v>25</v>
      </c>
      <c r="M270" t="s">
        <v>44</v>
      </c>
      <c r="N270" s="2">
        <f>Employee_Data[[#This Row],[Basic Salary]]*10%</f>
        <v>1246.5166666666667</v>
      </c>
      <c r="O270" s="4">
        <f>Employee_Data[[#This Row],[Basic Salary]]*7.5%</f>
        <v>934.88749999999993</v>
      </c>
      <c r="P270" s="2">
        <f>Employee_Data[[#This Row],[Basic Salary]]*3%</f>
        <v>373.95499999999998</v>
      </c>
      <c r="Q270" s="2">
        <f>SUM(Employee_Data[[#This Row],[Basic Salary]],Employee_Data[[#This Row],[HRA]],Employee_Data[[#This Row],[MA]],Employee_Data[[#This Row],[TA]])</f>
        <v>15020.525833333333</v>
      </c>
      <c r="R270" s="4">
        <f>Employee_Data[[#This Row],[Basic Salary]]*12.5%</f>
        <v>1558.1458333333333</v>
      </c>
      <c r="S270" s="2">
        <f>Employee_Data[[#This Row],[Annual Salary]]/12</f>
        <v>12465.166666666666</v>
      </c>
    </row>
    <row r="271" spans="1:19" x14ac:dyDescent="0.3">
      <c r="A271" t="s">
        <v>620</v>
      </c>
      <c r="B271" t="s">
        <v>621</v>
      </c>
      <c r="C271" t="s">
        <v>47</v>
      </c>
      <c r="D271" t="s">
        <v>80</v>
      </c>
      <c r="E271" t="s">
        <v>31</v>
      </c>
      <c r="F271" t="s">
        <v>42</v>
      </c>
      <c r="G271" t="s">
        <v>24</v>
      </c>
      <c r="H271">
        <v>47</v>
      </c>
      <c r="I271" s="1">
        <v>41936</v>
      </c>
      <c r="J271" s="2">
        <v>163922</v>
      </c>
      <c r="K271" s="3">
        <v>0.21</v>
      </c>
      <c r="L271" t="s">
        <v>25</v>
      </c>
      <c r="M271" t="s">
        <v>51</v>
      </c>
      <c r="N271" s="2">
        <f>Employee_Data[[#This Row],[Basic Salary]]*10%</f>
        <v>1366.0166666666667</v>
      </c>
      <c r="O271" s="4">
        <f>Employee_Data[[#This Row],[Basic Salary]]*7.5%</f>
        <v>1024.5124999999998</v>
      </c>
      <c r="P271" s="2">
        <f>Employee_Data[[#This Row],[Basic Salary]]*3%</f>
        <v>409.80499999999995</v>
      </c>
      <c r="Q271" s="2">
        <f>SUM(Employee_Data[[#This Row],[Basic Salary]],Employee_Data[[#This Row],[HRA]],Employee_Data[[#This Row],[MA]],Employee_Data[[#This Row],[TA]])</f>
        <v>16460.500833333332</v>
      </c>
      <c r="R271" s="4">
        <f>Employee_Data[[#This Row],[Basic Salary]]*12.5%</f>
        <v>1707.5208333333333</v>
      </c>
      <c r="S271" s="2">
        <f>Employee_Data[[#This Row],[Annual Salary]]/12</f>
        <v>13660.166666666666</v>
      </c>
    </row>
    <row r="272" spans="1:19" x14ac:dyDescent="0.3">
      <c r="A272" t="s">
        <v>622</v>
      </c>
      <c r="B272" t="s">
        <v>623</v>
      </c>
      <c r="C272" t="s">
        <v>89</v>
      </c>
      <c r="D272" t="s">
        <v>55</v>
      </c>
      <c r="E272" t="s">
        <v>36</v>
      </c>
      <c r="F272" t="s">
        <v>42</v>
      </c>
      <c r="G272" t="s">
        <v>24</v>
      </c>
      <c r="H272">
        <v>43</v>
      </c>
      <c r="I272" s="1">
        <v>38305</v>
      </c>
      <c r="J272" s="2">
        <v>240860</v>
      </c>
      <c r="K272" s="3">
        <v>0.37</v>
      </c>
      <c r="L272" t="s">
        <v>25</v>
      </c>
      <c r="M272" t="s">
        <v>32</v>
      </c>
      <c r="N272" s="2">
        <f>Employee_Data[[#This Row],[Basic Salary]]*10%</f>
        <v>2007.166666666667</v>
      </c>
      <c r="O272" s="4">
        <f>Employee_Data[[#This Row],[Basic Salary]]*7.5%</f>
        <v>1505.375</v>
      </c>
      <c r="P272" s="2">
        <f>Employee_Data[[#This Row],[Basic Salary]]*3%</f>
        <v>602.15</v>
      </c>
      <c r="Q272" s="2">
        <f>SUM(Employee_Data[[#This Row],[Basic Salary]],Employee_Data[[#This Row],[HRA]],Employee_Data[[#This Row],[MA]],Employee_Data[[#This Row],[TA]])</f>
        <v>24186.358333333337</v>
      </c>
      <c r="R272" s="4">
        <f>Employee_Data[[#This Row],[Basic Salary]]*12.5%</f>
        <v>2508.9583333333335</v>
      </c>
      <c r="S272" s="2">
        <f>Employee_Data[[#This Row],[Annual Salary]]/12</f>
        <v>20071.666666666668</v>
      </c>
    </row>
    <row r="273" spans="1:19" x14ac:dyDescent="0.3">
      <c r="A273" t="s">
        <v>624</v>
      </c>
      <c r="B273" t="s">
        <v>625</v>
      </c>
      <c r="C273" t="s">
        <v>69</v>
      </c>
      <c r="D273" t="s">
        <v>126</v>
      </c>
      <c r="E273" t="s">
        <v>56</v>
      </c>
      <c r="F273" t="s">
        <v>42</v>
      </c>
      <c r="G273" t="s">
        <v>24</v>
      </c>
      <c r="H273">
        <v>39</v>
      </c>
      <c r="I273" s="1">
        <v>43370</v>
      </c>
      <c r="J273" s="2">
        <v>128497</v>
      </c>
      <c r="K273" s="3">
        <v>7.0000000000000007E-2</v>
      </c>
      <c r="L273" t="s">
        <v>37</v>
      </c>
      <c r="M273" t="s">
        <v>62</v>
      </c>
      <c r="N273" s="2">
        <f>Employee_Data[[#This Row],[Basic Salary]]*10%</f>
        <v>1070.8083333333334</v>
      </c>
      <c r="O273" s="4">
        <f>Employee_Data[[#This Row],[Basic Salary]]*7.5%</f>
        <v>803.10625000000005</v>
      </c>
      <c r="P273" s="2">
        <f>Employee_Data[[#This Row],[Basic Salary]]*3%</f>
        <v>321.24250000000001</v>
      </c>
      <c r="Q273" s="2">
        <f>SUM(Employee_Data[[#This Row],[Basic Salary]],Employee_Data[[#This Row],[HRA]],Employee_Data[[#This Row],[MA]],Employee_Data[[#This Row],[TA]])</f>
        <v>12903.240416666667</v>
      </c>
      <c r="R273" s="4">
        <f>Employee_Data[[#This Row],[Basic Salary]]*12.5%</f>
        <v>1338.5104166666667</v>
      </c>
      <c r="S273" s="2">
        <f>Employee_Data[[#This Row],[Annual Salary]]/12</f>
        <v>10708.083333333334</v>
      </c>
    </row>
    <row r="274" spans="1:19" x14ac:dyDescent="0.3">
      <c r="A274" t="s">
        <v>626</v>
      </c>
      <c r="B274" t="s">
        <v>627</v>
      </c>
      <c r="C274" t="s">
        <v>198</v>
      </c>
      <c r="D274" t="s">
        <v>21</v>
      </c>
      <c r="E274" t="s">
        <v>31</v>
      </c>
      <c r="F274" t="s">
        <v>23</v>
      </c>
      <c r="G274" t="s">
        <v>24</v>
      </c>
      <c r="H274">
        <v>55</v>
      </c>
      <c r="I274" s="1">
        <v>42134</v>
      </c>
      <c r="J274" s="2">
        <v>121976</v>
      </c>
      <c r="K274" s="3">
        <v>0</v>
      </c>
      <c r="L274" t="s">
        <v>37</v>
      </c>
      <c r="M274" t="s">
        <v>57</v>
      </c>
      <c r="N274" s="2">
        <f>Employee_Data[[#This Row],[Basic Salary]]*10%</f>
        <v>1016.4666666666667</v>
      </c>
      <c r="O274" s="4">
        <f>Employee_Data[[#This Row],[Basic Salary]]*7.5%</f>
        <v>762.34999999999991</v>
      </c>
      <c r="P274" s="2">
        <f>Employee_Data[[#This Row],[Basic Salary]]*3%</f>
        <v>304.94</v>
      </c>
      <c r="Q274" s="2">
        <f>SUM(Employee_Data[[#This Row],[Basic Salary]],Employee_Data[[#This Row],[HRA]],Employee_Data[[#This Row],[MA]],Employee_Data[[#This Row],[TA]])</f>
        <v>12248.423333333334</v>
      </c>
      <c r="R274" s="4">
        <f>Employee_Data[[#This Row],[Basic Salary]]*12.5%</f>
        <v>1270.5833333333333</v>
      </c>
      <c r="S274" s="2">
        <f>Employee_Data[[#This Row],[Annual Salary]]/12</f>
        <v>10164.666666666666</v>
      </c>
    </row>
    <row r="275" spans="1:19" x14ac:dyDescent="0.3">
      <c r="A275" t="s">
        <v>628</v>
      </c>
      <c r="B275" t="s">
        <v>629</v>
      </c>
      <c r="C275" t="s">
        <v>83</v>
      </c>
      <c r="D275" t="s">
        <v>30</v>
      </c>
      <c r="E275" t="s">
        <v>31</v>
      </c>
      <c r="F275" t="s">
        <v>42</v>
      </c>
      <c r="G275" t="s">
        <v>24</v>
      </c>
      <c r="H275">
        <v>32</v>
      </c>
      <c r="I275" s="1">
        <v>44754</v>
      </c>
      <c r="J275" s="2">
        <v>126464</v>
      </c>
      <c r="K275" s="3">
        <v>0.15</v>
      </c>
      <c r="L275" t="s">
        <v>25</v>
      </c>
      <c r="M275" t="s">
        <v>70</v>
      </c>
      <c r="N275" s="2">
        <f>Employee_Data[[#This Row],[Basic Salary]]*10%</f>
        <v>1053.8666666666666</v>
      </c>
      <c r="O275" s="4">
        <f>Employee_Data[[#This Row],[Basic Salary]]*7.5%</f>
        <v>790.4</v>
      </c>
      <c r="P275" s="2">
        <f>Employee_Data[[#This Row],[Basic Salary]]*3%</f>
        <v>316.15999999999997</v>
      </c>
      <c r="Q275" s="2">
        <f>SUM(Employee_Data[[#This Row],[Basic Salary]],Employee_Data[[#This Row],[HRA]],Employee_Data[[#This Row],[MA]],Employee_Data[[#This Row],[TA]])</f>
        <v>12699.093333333332</v>
      </c>
      <c r="R275" s="4">
        <f>Employee_Data[[#This Row],[Basic Salary]]*12.5%</f>
        <v>1317.3333333333333</v>
      </c>
      <c r="S275" s="2">
        <f>Employee_Data[[#This Row],[Annual Salary]]/12</f>
        <v>10538.666666666666</v>
      </c>
    </row>
    <row r="276" spans="1:19" x14ac:dyDescent="0.3">
      <c r="A276" t="s">
        <v>630</v>
      </c>
      <c r="B276" t="s">
        <v>631</v>
      </c>
      <c r="C276" t="s">
        <v>89</v>
      </c>
      <c r="D276" t="s">
        <v>55</v>
      </c>
      <c r="E276" t="s">
        <v>22</v>
      </c>
      <c r="F276" t="s">
        <v>42</v>
      </c>
      <c r="G276" t="s">
        <v>24</v>
      </c>
      <c r="H276">
        <v>53</v>
      </c>
      <c r="I276" s="1">
        <v>38600</v>
      </c>
      <c r="J276" s="2">
        <v>234064</v>
      </c>
      <c r="K276" s="3">
        <v>0.33</v>
      </c>
      <c r="L276" t="s">
        <v>37</v>
      </c>
      <c r="M276" t="s">
        <v>62</v>
      </c>
      <c r="N276" s="2">
        <f>Employee_Data[[#This Row],[Basic Salary]]*10%</f>
        <v>1950.5333333333333</v>
      </c>
      <c r="O276" s="4">
        <f>Employee_Data[[#This Row],[Basic Salary]]*7.5%</f>
        <v>1462.8999999999999</v>
      </c>
      <c r="P276" s="2">
        <f>Employee_Data[[#This Row],[Basic Salary]]*3%</f>
        <v>585.16</v>
      </c>
      <c r="Q276" s="2">
        <f>SUM(Employee_Data[[#This Row],[Basic Salary]],Employee_Data[[#This Row],[HRA]],Employee_Data[[#This Row],[MA]],Employee_Data[[#This Row],[TA]])</f>
        <v>23503.926666666666</v>
      </c>
      <c r="R276" s="4">
        <f>Employee_Data[[#This Row],[Basic Salary]]*12.5%</f>
        <v>2438.1666666666665</v>
      </c>
      <c r="S276" s="2">
        <f>Employee_Data[[#This Row],[Annual Salary]]/12</f>
        <v>19505.333333333332</v>
      </c>
    </row>
    <row r="277" spans="1:19" x14ac:dyDescent="0.3">
      <c r="A277" t="s">
        <v>632</v>
      </c>
      <c r="B277" t="s">
        <v>633</v>
      </c>
      <c r="C277" t="s">
        <v>54</v>
      </c>
      <c r="D277" t="s">
        <v>61</v>
      </c>
      <c r="E277" t="s">
        <v>22</v>
      </c>
      <c r="F277" t="s">
        <v>23</v>
      </c>
      <c r="G277" t="s">
        <v>24</v>
      </c>
      <c r="H277">
        <v>59</v>
      </c>
      <c r="I277" s="1">
        <v>39463</v>
      </c>
      <c r="J277" s="2">
        <v>81829</v>
      </c>
      <c r="K277" s="3">
        <v>0</v>
      </c>
      <c r="L277" t="s">
        <v>37</v>
      </c>
      <c r="M277" t="s">
        <v>57</v>
      </c>
      <c r="N277" s="2">
        <f>Employee_Data[[#This Row],[Basic Salary]]*10%</f>
        <v>681.9083333333333</v>
      </c>
      <c r="O277" s="4">
        <f>Employee_Data[[#This Row],[Basic Salary]]*7.5%</f>
        <v>511.43124999999998</v>
      </c>
      <c r="P277" s="2">
        <f>Employee_Data[[#This Row],[Basic Salary]]*3%</f>
        <v>204.57249999999999</v>
      </c>
      <c r="Q277" s="2">
        <f>SUM(Employee_Data[[#This Row],[Basic Salary]],Employee_Data[[#This Row],[HRA]],Employee_Data[[#This Row],[MA]],Employee_Data[[#This Row],[TA]])</f>
        <v>8216.9954166666666</v>
      </c>
      <c r="R277" s="4">
        <f>Employee_Data[[#This Row],[Basic Salary]]*12.5%</f>
        <v>852.38541666666663</v>
      </c>
      <c r="S277" s="2">
        <f>Employee_Data[[#This Row],[Annual Salary]]/12</f>
        <v>6819.083333333333</v>
      </c>
    </row>
    <row r="278" spans="1:19" x14ac:dyDescent="0.3">
      <c r="A278" t="s">
        <v>634</v>
      </c>
      <c r="B278" t="s">
        <v>635</v>
      </c>
      <c r="C278" t="s">
        <v>47</v>
      </c>
      <c r="D278" t="s">
        <v>126</v>
      </c>
      <c r="E278" t="s">
        <v>31</v>
      </c>
      <c r="F278" t="s">
        <v>42</v>
      </c>
      <c r="G278" t="s">
        <v>24</v>
      </c>
      <c r="H278">
        <v>26</v>
      </c>
      <c r="I278" s="1">
        <v>44672</v>
      </c>
      <c r="J278" s="2">
        <v>193971</v>
      </c>
      <c r="K278" s="3">
        <v>0.22</v>
      </c>
      <c r="L278" t="s">
        <v>25</v>
      </c>
      <c r="M278" t="s">
        <v>32</v>
      </c>
      <c r="N278" s="2">
        <f>Employee_Data[[#This Row],[Basic Salary]]*10%</f>
        <v>1616.4250000000002</v>
      </c>
      <c r="O278" s="4">
        <f>Employee_Data[[#This Row],[Basic Salary]]*7.5%</f>
        <v>1212.3187499999999</v>
      </c>
      <c r="P278" s="2">
        <f>Employee_Data[[#This Row],[Basic Salary]]*3%</f>
        <v>484.92750000000001</v>
      </c>
      <c r="Q278" s="2">
        <f>SUM(Employee_Data[[#This Row],[Basic Salary]],Employee_Data[[#This Row],[HRA]],Employee_Data[[#This Row],[MA]],Employee_Data[[#This Row],[TA]])</f>
        <v>19477.921249999999</v>
      </c>
      <c r="R278" s="4">
        <f>Employee_Data[[#This Row],[Basic Salary]]*12.5%</f>
        <v>2020.53125</v>
      </c>
      <c r="S278" s="2">
        <f>Employee_Data[[#This Row],[Annual Salary]]/12</f>
        <v>16164.25</v>
      </c>
    </row>
    <row r="279" spans="1:19" x14ac:dyDescent="0.3">
      <c r="A279" t="s">
        <v>636</v>
      </c>
      <c r="B279" t="s">
        <v>637</v>
      </c>
      <c r="C279" t="s">
        <v>131</v>
      </c>
      <c r="D279" t="s">
        <v>126</v>
      </c>
      <c r="E279" t="s">
        <v>31</v>
      </c>
      <c r="F279" t="s">
        <v>23</v>
      </c>
      <c r="G279" t="s">
        <v>24</v>
      </c>
      <c r="H279">
        <v>55</v>
      </c>
      <c r="I279" s="1">
        <v>37120</v>
      </c>
      <c r="J279" s="2">
        <v>47696</v>
      </c>
      <c r="K279" s="3">
        <v>0</v>
      </c>
      <c r="L279" t="s">
        <v>25</v>
      </c>
      <c r="M279" t="s">
        <v>44</v>
      </c>
      <c r="N279" s="2">
        <f>Employee_Data[[#This Row],[Basic Salary]]*10%</f>
        <v>397.4666666666667</v>
      </c>
      <c r="O279" s="4">
        <f>Employee_Data[[#This Row],[Basic Salary]]*7.5%</f>
        <v>298.09999999999997</v>
      </c>
      <c r="P279" s="2">
        <f>Employee_Data[[#This Row],[Basic Salary]]*3%</f>
        <v>119.24</v>
      </c>
      <c r="Q279" s="2">
        <f>SUM(Employee_Data[[#This Row],[Basic Salary]],Employee_Data[[#This Row],[HRA]],Employee_Data[[#This Row],[MA]],Employee_Data[[#This Row],[TA]])</f>
        <v>4789.4733333333334</v>
      </c>
      <c r="R279" s="4">
        <f>Employee_Data[[#This Row],[Basic Salary]]*12.5%</f>
        <v>496.83333333333331</v>
      </c>
      <c r="S279" s="2">
        <f>Employee_Data[[#This Row],[Annual Salary]]/12</f>
        <v>3974.6666666666665</v>
      </c>
    </row>
    <row r="280" spans="1:19" x14ac:dyDescent="0.3">
      <c r="A280" t="s">
        <v>638</v>
      </c>
      <c r="B280" t="s">
        <v>639</v>
      </c>
      <c r="C280" t="s">
        <v>69</v>
      </c>
      <c r="D280" t="s">
        <v>55</v>
      </c>
      <c r="E280" t="s">
        <v>56</v>
      </c>
      <c r="F280" t="s">
        <v>23</v>
      </c>
      <c r="G280" t="s">
        <v>24</v>
      </c>
      <c r="H280">
        <v>34</v>
      </c>
      <c r="I280" s="1">
        <v>41472</v>
      </c>
      <c r="J280" s="2">
        <v>116676</v>
      </c>
      <c r="K280" s="3">
        <v>0.1</v>
      </c>
      <c r="L280" t="s">
        <v>37</v>
      </c>
      <c r="M280" t="s">
        <v>62</v>
      </c>
      <c r="N280" s="2">
        <f>Employee_Data[[#This Row],[Basic Salary]]*10%</f>
        <v>972.30000000000007</v>
      </c>
      <c r="O280" s="4">
        <f>Employee_Data[[#This Row],[Basic Salary]]*7.5%</f>
        <v>729.22500000000002</v>
      </c>
      <c r="P280" s="2">
        <f>Employee_Data[[#This Row],[Basic Salary]]*3%</f>
        <v>291.69</v>
      </c>
      <c r="Q280" s="2">
        <f>SUM(Employee_Data[[#This Row],[Basic Salary]],Employee_Data[[#This Row],[HRA]],Employee_Data[[#This Row],[MA]],Employee_Data[[#This Row],[TA]])</f>
        <v>11716.215</v>
      </c>
      <c r="R280" s="4">
        <f>Employee_Data[[#This Row],[Basic Salary]]*12.5%</f>
        <v>1215.375</v>
      </c>
      <c r="S280" s="2">
        <f>Employee_Data[[#This Row],[Annual Salary]]/12</f>
        <v>9723</v>
      </c>
    </row>
    <row r="281" spans="1:19" x14ac:dyDescent="0.3">
      <c r="A281" t="s">
        <v>640</v>
      </c>
      <c r="B281" t="s">
        <v>641</v>
      </c>
      <c r="C281" t="s">
        <v>69</v>
      </c>
      <c r="D281" t="s">
        <v>80</v>
      </c>
      <c r="E281" t="s">
        <v>31</v>
      </c>
      <c r="F281" t="s">
        <v>23</v>
      </c>
      <c r="G281" t="s">
        <v>66</v>
      </c>
      <c r="H281">
        <v>45</v>
      </c>
      <c r="I281" s="1">
        <v>41004</v>
      </c>
      <c r="J281" s="2">
        <v>104162</v>
      </c>
      <c r="K281" s="3">
        <v>0.09</v>
      </c>
      <c r="L281" t="s">
        <v>25</v>
      </c>
      <c r="M281" t="s">
        <v>48</v>
      </c>
      <c r="N281" s="2">
        <f>Employee_Data[[#This Row],[Basic Salary]]*10%</f>
        <v>868.01666666666665</v>
      </c>
      <c r="O281" s="4">
        <f>Employee_Data[[#This Row],[Basic Salary]]*7.5%</f>
        <v>651.01249999999993</v>
      </c>
      <c r="P281" s="2">
        <f>Employee_Data[[#This Row],[Basic Salary]]*3%</f>
        <v>260.40499999999997</v>
      </c>
      <c r="Q281" s="2">
        <f>SUM(Employee_Data[[#This Row],[Basic Salary]],Employee_Data[[#This Row],[HRA]],Employee_Data[[#This Row],[MA]],Employee_Data[[#This Row],[TA]])</f>
        <v>10459.600833333334</v>
      </c>
      <c r="R281" s="4">
        <f>Employee_Data[[#This Row],[Basic Salary]]*12.5%</f>
        <v>1085.0208333333333</v>
      </c>
      <c r="S281" s="2">
        <f>Employee_Data[[#This Row],[Annual Salary]]/12</f>
        <v>8680.1666666666661</v>
      </c>
    </row>
    <row r="282" spans="1:19" x14ac:dyDescent="0.3">
      <c r="A282" t="s">
        <v>642</v>
      </c>
      <c r="B282" t="s">
        <v>643</v>
      </c>
      <c r="C282" t="s">
        <v>232</v>
      </c>
      <c r="D282" t="s">
        <v>126</v>
      </c>
      <c r="E282" t="s">
        <v>56</v>
      </c>
      <c r="F282" t="s">
        <v>23</v>
      </c>
      <c r="G282" t="s">
        <v>24</v>
      </c>
      <c r="H282">
        <v>29</v>
      </c>
      <c r="I282" s="1">
        <v>44665</v>
      </c>
      <c r="J282" s="2">
        <v>86226</v>
      </c>
      <c r="K282" s="3">
        <v>0</v>
      </c>
      <c r="L282" t="s">
        <v>25</v>
      </c>
      <c r="M282" t="s">
        <v>44</v>
      </c>
      <c r="N282" s="2">
        <f>Employee_Data[[#This Row],[Basic Salary]]*10%</f>
        <v>718.55000000000007</v>
      </c>
      <c r="O282" s="4">
        <f>Employee_Data[[#This Row],[Basic Salary]]*7.5%</f>
        <v>538.91250000000002</v>
      </c>
      <c r="P282" s="2">
        <f>Employee_Data[[#This Row],[Basic Salary]]*3%</f>
        <v>215.565</v>
      </c>
      <c r="Q282" s="2">
        <f>SUM(Employee_Data[[#This Row],[Basic Salary]],Employee_Data[[#This Row],[HRA]],Employee_Data[[#This Row],[MA]],Employee_Data[[#This Row],[TA]])</f>
        <v>8658.5275000000001</v>
      </c>
      <c r="R282" s="4">
        <f>Employee_Data[[#This Row],[Basic Salary]]*12.5%</f>
        <v>898.1875</v>
      </c>
      <c r="S282" s="2">
        <f>Employee_Data[[#This Row],[Annual Salary]]/12</f>
        <v>7185.5</v>
      </c>
    </row>
    <row r="283" spans="1:19" x14ac:dyDescent="0.3">
      <c r="A283" t="s">
        <v>644</v>
      </c>
      <c r="B283" t="s">
        <v>645</v>
      </c>
      <c r="C283" t="s">
        <v>47</v>
      </c>
      <c r="D283" t="s">
        <v>80</v>
      </c>
      <c r="E283" t="s">
        <v>56</v>
      </c>
      <c r="F283" t="s">
        <v>42</v>
      </c>
      <c r="G283" t="s">
        <v>43</v>
      </c>
      <c r="H283">
        <v>45</v>
      </c>
      <c r="I283" s="1">
        <v>40693</v>
      </c>
      <c r="J283" s="2">
        <v>172206</v>
      </c>
      <c r="K283" s="3">
        <v>0.28999999999999998</v>
      </c>
      <c r="L283" t="s">
        <v>137</v>
      </c>
      <c r="M283" t="s">
        <v>183</v>
      </c>
      <c r="N283" s="2">
        <f>Employee_Data[[#This Row],[Basic Salary]]*10%</f>
        <v>1435.0500000000002</v>
      </c>
      <c r="O283" s="4">
        <f>Employee_Data[[#This Row],[Basic Salary]]*7.5%</f>
        <v>1076.2874999999999</v>
      </c>
      <c r="P283" s="2">
        <f>Employee_Data[[#This Row],[Basic Salary]]*3%</f>
        <v>430.51499999999999</v>
      </c>
      <c r="Q283" s="2">
        <f>SUM(Employee_Data[[#This Row],[Basic Salary]],Employee_Data[[#This Row],[HRA]],Employee_Data[[#This Row],[MA]],Employee_Data[[#This Row],[TA]])</f>
        <v>17292.352499999997</v>
      </c>
      <c r="R283" s="4">
        <f>Employee_Data[[#This Row],[Basic Salary]]*12.5%</f>
        <v>1793.8125</v>
      </c>
      <c r="S283" s="2">
        <f>Employee_Data[[#This Row],[Annual Salary]]/12</f>
        <v>14350.5</v>
      </c>
    </row>
    <row r="284" spans="1:19" x14ac:dyDescent="0.3">
      <c r="A284" t="s">
        <v>646</v>
      </c>
      <c r="B284" t="s">
        <v>647</v>
      </c>
      <c r="C284" t="s">
        <v>247</v>
      </c>
      <c r="D284" t="s">
        <v>126</v>
      </c>
      <c r="E284" t="s">
        <v>56</v>
      </c>
      <c r="F284" t="s">
        <v>23</v>
      </c>
      <c r="G284" t="s">
        <v>43</v>
      </c>
      <c r="H284">
        <v>34</v>
      </c>
      <c r="I284" s="1">
        <v>41005</v>
      </c>
      <c r="J284" s="2">
        <v>55985</v>
      </c>
      <c r="K284" s="3">
        <v>0</v>
      </c>
      <c r="L284" t="s">
        <v>25</v>
      </c>
      <c r="M284" t="s">
        <v>44</v>
      </c>
      <c r="N284" s="2">
        <f>Employee_Data[[#This Row],[Basic Salary]]*10%</f>
        <v>466.54166666666674</v>
      </c>
      <c r="O284" s="4">
        <f>Employee_Data[[#This Row],[Basic Salary]]*7.5%</f>
        <v>349.90625</v>
      </c>
      <c r="P284" s="2">
        <f>Employee_Data[[#This Row],[Basic Salary]]*3%</f>
        <v>139.96250000000001</v>
      </c>
      <c r="Q284" s="2">
        <f>SUM(Employee_Data[[#This Row],[Basic Salary]],Employee_Data[[#This Row],[HRA]],Employee_Data[[#This Row],[MA]],Employee_Data[[#This Row],[TA]])</f>
        <v>5621.8270833333336</v>
      </c>
      <c r="R284" s="4">
        <f>Employee_Data[[#This Row],[Basic Salary]]*12.5%</f>
        <v>583.17708333333337</v>
      </c>
      <c r="S284" s="2">
        <f>Employee_Data[[#This Row],[Annual Salary]]/12</f>
        <v>4665.416666666667</v>
      </c>
    </row>
    <row r="285" spans="1:19" x14ac:dyDescent="0.3">
      <c r="A285" t="s">
        <v>648</v>
      </c>
      <c r="B285" t="s">
        <v>649</v>
      </c>
      <c r="C285" t="s">
        <v>101</v>
      </c>
      <c r="D285" t="s">
        <v>4</v>
      </c>
      <c r="E285" t="s">
        <v>31</v>
      </c>
      <c r="F285" t="s">
        <v>23</v>
      </c>
      <c r="G285" t="s">
        <v>43</v>
      </c>
      <c r="H285">
        <v>26</v>
      </c>
      <c r="I285" s="1">
        <v>44353</v>
      </c>
      <c r="J285" s="2">
        <v>61481</v>
      </c>
      <c r="K285" s="3">
        <v>0</v>
      </c>
      <c r="L285" t="s">
        <v>25</v>
      </c>
      <c r="M285" t="s">
        <v>70</v>
      </c>
      <c r="N285" s="2">
        <f>Employee_Data[[#This Row],[Basic Salary]]*10%</f>
        <v>512.3416666666667</v>
      </c>
      <c r="O285" s="4">
        <f>Employee_Data[[#This Row],[Basic Salary]]*7.5%</f>
        <v>384.25625000000002</v>
      </c>
      <c r="P285" s="2">
        <f>Employee_Data[[#This Row],[Basic Salary]]*3%</f>
        <v>153.70250000000001</v>
      </c>
      <c r="Q285" s="2">
        <f>SUM(Employee_Data[[#This Row],[Basic Salary]],Employee_Data[[#This Row],[HRA]],Employee_Data[[#This Row],[MA]],Employee_Data[[#This Row],[TA]])</f>
        <v>6173.7170833333339</v>
      </c>
      <c r="R285" s="4">
        <f>Employee_Data[[#This Row],[Basic Salary]]*12.5%</f>
        <v>640.42708333333337</v>
      </c>
      <c r="S285" s="2">
        <f>Employee_Data[[#This Row],[Annual Salary]]/12</f>
        <v>5123.416666666667</v>
      </c>
    </row>
    <row r="286" spans="1:19" x14ac:dyDescent="0.3">
      <c r="A286" t="s">
        <v>650</v>
      </c>
      <c r="B286" t="s">
        <v>651</v>
      </c>
      <c r="C286" t="s">
        <v>69</v>
      </c>
      <c r="D286" t="s">
        <v>30</v>
      </c>
      <c r="E286" t="s">
        <v>36</v>
      </c>
      <c r="F286" t="s">
        <v>42</v>
      </c>
      <c r="G286" t="s">
        <v>43</v>
      </c>
      <c r="H286">
        <v>30</v>
      </c>
      <c r="I286" s="1">
        <v>43065</v>
      </c>
      <c r="J286" s="2">
        <v>124295</v>
      </c>
      <c r="K286" s="3">
        <v>7.0000000000000007E-2</v>
      </c>
      <c r="L286" t="s">
        <v>137</v>
      </c>
      <c r="M286" t="s">
        <v>289</v>
      </c>
      <c r="N286" s="2">
        <f>Employee_Data[[#This Row],[Basic Salary]]*10%</f>
        <v>1035.7916666666667</v>
      </c>
      <c r="O286" s="4">
        <f>Employee_Data[[#This Row],[Basic Salary]]*7.5%</f>
        <v>776.84374999999989</v>
      </c>
      <c r="P286" s="2">
        <f>Employee_Data[[#This Row],[Basic Salary]]*3%</f>
        <v>310.73749999999995</v>
      </c>
      <c r="Q286" s="2">
        <f>SUM(Employee_Data[[#This Row],[Basic Salary]],Employee_Data[[#This Row],[HRA]],Employee_Data[[#This Row],[MA]],Employee_Data[[#This Row],[TA]])</f>
        <v>12481.289583333331</v>
      </c>
      <c r="R286" s="4">
        <f>Employee_Data[[#This Row],[Basic Salary]]*12.5%</f>
        <v>1294.7395833333333</v>
      </c>
      <c r="S286" s="2">
        <f>Employee_Data[[#This Row],[Annual Salary]]/12</f>
        <v>10357.916666666666</v>
      </c>
    </row>
    <row r="287" spans="1:19" x14ac:dyDescent="0.3">
      <c r="A287" t="s">
        <v>652</v>
      </c>
      <c r="B287" t="s">
        <v>653</v>
      </c>
      <c r="C287" t="s">
        <v>83</v>
      </c>
      <c r="D287" t="s">
        <v>30</v>
      </c>
      <c r="E287" t="s">
        <v>36</v>
      </c>
      <c r="F287" t="s">
        <v>42</v>
      </c>
      <c r="G287" t="s">
        <v>24</v>
      </c>
      <c r="H287">
        <v>55</v>
      </c>
      <c r="I287" s="1">
        <v>36199</v>
      </c>
      <c r="J287" s="2">
        <v>132894</v>
      </c>
      <c r="K287" s="3">
        <v>0.15</v>
      </c>
      <c r="L287" t="s">
        <v>25</v>
      </c>
      <c r="M287" t="s">
        <v>32</v>
      </c>
      <c r="N287" s="2">
        <f>Employee_Data[[#This Row],[Basic Salary]]*10%</f>
        <v>1107.45</v>
      </c>
      <c r="O287" s="4">
        <f>Employee_Data[[#This Row],[Basic Salary]]*7.5%</f>
        <v>830.58749999999998</v>
      </c>
      <c r="P287" s="2">
        <f>Employee_Data[[#This Row],[Basic Salary]]*3%</f>
        <v>332.23500000000001</v>
      </c>
      <c r="Q287" s="2">
        <f>SUM(Employee_Data[[#This Row],[Basic Salary]],Employee_Data[[#This Row],[HRA]],Employee_Data[[#This Row],[MA]],Employee_Data[[#This Row],[TA]])</f>
        <v>13344.772500000001</v>
      </c>
      <c r="R287" s="4">
        <f>Employee_Data[[#This Row],[Basic Salary]]*12.5%</f>
        <v>1384.3125</v>
      </c>
      <c r="S287" s="2">
        <f>Employee_Data[[#This Row],[Annual Salary]]/12</f>
        <v>11074.5</v>
      </c>
    </row>
    <row r="288" spans="1:19" x14ac:dyDescent="0.3">
      <c r="A288" t="s">
        <v>654</v>
      </c>
      <c r="B288" t="s">
        <v>655</v>
      </c>
      <c r="C288" t="s">
        <v>180</v>
      </c>
      <c r="D288" t="s">
        <v>4</v>
      </c>
      <c r="E288" t="s">
        <v>31</v>
      </c>
      <c r="F288" t="s">
        <v>23</v>
      </c>
      <c r="G288" t="s">
        <v>24</v>
      </c>
      <c r="H288">
        <v>47</v>
      </c>
      <c r="I288" s="1">
        <v>37331</v>
      </c>
      <c r="J288" s="2">
        <v>88839</v>
      </c>
      <c r="K288" s="3">
        <v>0.05</v>
      </c>
      <c r="L288" t="s">
        <v>25</v>
      </c>
      <c r="M288" t="s">
        <v>51</v>
      </c>
      <c r="N288" s="2">
        <f>Employee_Data[[#This Row],[Basic Salary]]*10%</f>
        <v>740.32500000000005</v>
      </c>
      <c r="O288" s="4">
        <f>Employee_Data[[#This Row],[Basic Salary]]*7.5%</f>
        <v>555.24374999999998</v>
      </c>
      <c r="P288" s="2">
        <f>Employee_Data[[#This Row],[Basic Salary]]*3%</f>
        <v>222.0975</v>
      </c>
      <c r="Q288" s="2">
        <f>SUM(Employee_Data[[#This Row],[Basic Salary]],Employee_Data[[#This Row],[HRA]],Employee_Data[[#This Row],[MA]],Employee_Data[[#This Row],[TA]])</f>
        <v>8920.9162500000002</v>
      </c>
      <c r="R288" s="4">
        <f>Employee_Data[[#This Row],[Basic Salary]]*12.5%</f>
        <v>925.40625</v>
      </c>
      <c r="S288" s="2">
        <f>Employee_Data[[#This Row],[Annual Salary]]/12</f>
        <v>7403.25</v>
      </c>
    </row>
    <row r="289" spans="1:19" x14ac:dyDescent="0.3">
      <c r="A289" t="s">
        <v>656</v>
      </c>
      <c r="B289" t="s">
        <v>657</v>
      </c>
      <c r="C289" t="s">
        <v>198</v>
      </c>
      <c r="D289" t="s">
        <v>21</v>
      </c>
      <c r="E289" t="s">
        <v>22</v>
      </c>
      <c r="F289" t="s">
        <v>23</v>
      </c>
      <c r="G289" t="s">
        <v>43</v>
      </c>
      <c r="H289">
        <v>51</v>
      </c>
      <c r="I289" s="1">
        <v>38519</v>
      </c>
      <c r="J289" s="2">
        <v>78107</v>
      </c>
      <c r="K289" s="3">
        <v>0</v>
      </c>
      <c r="L289" t="s">
        <v>137</v>
      </c>
      <c r="M289" t="s">
        <v>289</v>
      </c>
      <c r="N289" s="2">
        <f>Employee_Data[[#This Row],[Basic Salary]]*10%</f>
        <v>650.89166666666677</v>
      </c>
      <c r="O289" s="4">
        <f>Employee_Data[[#This Row],[Basic Salary]]*7.5%</f>
        <v>488.16874999999999</v>
      </c>
      <c r="P289" s="2">
        <f>Employee_Data[[#This Row],[Basic Salary]]*3%</f>
        <v>195.26750000000001</v>
      </c>
      <c r="Q289" s="2">
        <f>SUM(Employee_Data[[#This Row],[Basic Salary]],Employee_Data[[#This Row],[HRA]],Employee_Data[[#This Row],[MA]],Employee_Data[[#This Row],[TA]])</f>
        <v>7843.2445833333331</v>
      </c>
      <c r="R289" s="4">
        <f>Employee_Data[[#This Row],[Basic Salary]]*12.5%</f>
        <v>813.61458333333337</v>
      </c>
      <c r="S289" s="2">
        <f>Employee_Data[[#This Row],[Annual Salary]]/12</f>
        <v>6508.916666666667</v>
      </c>
    </row>
    <row r="290" spans="1:19" x14ac:dyDescent="0.3">
      <c r="A290" t="s">
        <v>658</v>
      </c>
      <c r="B290" t="s">
        <v>659</v>
      </c>
      <c r="C290" t="s">
        <v>83</v>
      </c>
      <c r="D290" t="s">
        <v>4</v>
      </c>
      <c r="E290" t="s">
        <v>31</v>
      </c>
      <c r="F290" t="s">
        <v>42</v>
      </c>
      <c r="G290" t="s">
        <v>24</v>
      </c>
      <c r="H290">
        <v>54</v>
      </c>
      <c r="I290" s="1">
        <v>34160</v>
      </c>
      <c r="J290" s="2">
        <v>135642</v>
      </c>
      <c r="K290" s="3">
        <v>0.1</v>
      </c>
      <c r="L290" t="s">
        <v>37</v>
      </c>
      <c r="M290" t="s">
        <v>111</v>
      </c>
      <c r="N290" s="2">
        <f>Employee_Data[[#This Row],[Basic Salary]]*10%</f>
        <v>1130.3500000000001</v>
      </c>
      <c r="O290" s="4">
        <f>Employee_Data[[#This Row],[Basic Salary]]*7.5%</f>
        <v>847.76249999999993</v>
      </c>
      <c r="P290" s="2">
        <f>Employee_Data[[#This Row],[Basic Salary]]*3%</f>
        <v>339.10499999999996</v>
      </c>
      <c r="Q290" s="2">
        <f>SUM(Employee_Data[[#This Row],[Basic Salary]],Employee_Data[[#This Row],[HRA]],Employee_Data[[#This Row],[MA]],Employee_Data[[#This Row],[TA]])</f>
        <v>13620.717500000001</v>
      </c>
      <c r="R290" s="4">
        <f>Employee_Data[[#This Row],[Basic Salary]]*12.5%</f>
        <v>1412.9375</v>
      </c>
      <c r="S290" s="2">
        <f>Employee_Data[[#This Row],[Annual Salary]]/12</f>
        <v>11303.5</v>
      </c>
    </row>
    <row r="291" spans="1:19" x14ac:dyDescent="0.3">
      <c r="A291" t="s">
        <v>660</v>
      </c>
      <c r="B291" t="s">
        <v>661</v>
      </c>
      <c r="C291" t="s">
        <v>83</v>
      </c>
      <c r="D291" t="s">
        <v>30</v>
      </c>
      <c r="E291" t="s">
        <v>31</v>
      </c>
      <c r="F291" t="s">
        <v>42</v>
      </c>
      <c r="G291" t="s">
        <v>24</v>
      </c>
      <c r="H291">
        <v>64</v>
      </c>
      <c r="I291" s="1">
        <v>35440</v>
      </c>
      <c r="J291" s="2">
        <v>147853</v>
      </c>
      <c r="K291" s="3">
        <v>0.11</v>
      </c>
      <c r="L291" t="s">
        <v>25</v>
      </c>
      <c r="M291" t="s">
        <v>48</v>
      </c>
      <c r="N291" s="2">
        <f>Employee_Data[[#This Row],[Basic Salary]]*10%</f>
        <v>1232.1083333333336</v>
      </c>
      <c r="O291" s="4">
        <f>Employee_Data[[#This Row],[Basic Salary]]*7.5%</f>
        <v>924.08124999999995</v>
      </c>
      <c r="P291" s="2">
        <f>Employee_Data[[#This Row],[Basic Salary]]*3%</f>
        <v>369.63249999999999</v>
      </c>
      <c r="Q291" s="2">
        <f>SUM(Employee_Data[[#This Row],[Basic Salary]],Employee_Data[[#This Row],[HRA]],Employee_Data[[#This Row],[MA]],Employee_Data[[#This Row],[TA]])</f>
        <v>14846.905416666666</v>
      </c>
      <c r="R291" s="4">
        <f>Employee_Data[[#This Row],[Basic Salary]]*12.5%</f>
        <v>1540.1354166666667</v>
      </c>
      <c r="S291" s="2">
        <f>Employee_Data[[#This Row],[Annual Salary]]/12</f>
        <v>12321.083333333334</v>
      </c>
    </row>
    <row r="292" spans="1:19" x14ac:dyDescent="0.3">
      <c r="A292" t="s">
        <v>662</v>
      </c>
      <c r="B292" t="s">
        <v>663</v>
      </c>
      <c r="C292" t="s">
        <v>69</v>
      </c>
      <c r="D292" t="s">
        <v>4</v>
      </c>
      <c r="E292" t="s">
        <v>22</v>
      </c>
      <c r="F292" t="s">
        <v>42</v>
      </c>
      <c r="G292" t="s">
        <v>43</v>
      </c>
      <c r="H292">
        <v>40</v>
      </c>
      <c r="I292" s="1">
        <v>40071</v>
      </c>
      <c r="J292" s="2">
        <v>125900</v>
      </c>
      <c r="K292" s="3">
        <v>7.0000000000000007E-2</v>
      </c>
      <c r="L292" t="s">
        <v>25</v>
      </c>
      <c r="M292" t="s">
        <v>44</v>
      </c>
      <c r="N292" s="2">
        <f>Employee_Data[[#This Row],[Basic Salary]]*10%</f>
        <v>1049.1666666666667</v>
      </c>
      <c r="O292" s="4">
        <f>Employee_Data[[#This Row],[Basic Salary]]*7.5%</f>
        <v>786.87499999999989</v>
      </c>
      <c r="P292" s="2">
        <f>Employee_Data[[#This Row],[Basic Salary]]*3%</f>
        <v>314.74999999999994</v>
      </c>
      <c r="Q292" s="2">
        <f>SUM(Employee_Data[[#This Row],[Basic Salary]],Employee_Data[[#This Row],[HRA]],Employee_Data[[#This Row],[MA]],Employee_Data[[#This Row],[TA]])</f>
        <v>12642.458333333332</v>
      </c>
      <c r="R292" s="4">
        <f>Employee_Data[[#This Row],[Basic Salary]]*12.5%</f>
        <v>1311.4583333333333</v>
      </c>
      <c r="S292" s="2">
        <f>Employee_Data[[#This Row],[Annual Salary]]/12</f>
        <v>10491.666666666666</v>
      </c>
    </row>
    <row r="293" spans="1:19" x14ac:dyDescent="0.3">
      <c r="A293" t="s">
        <v>664</v>
      </c>
      <c r="B293" t="s">
        <v>665</v>
      </c>
      <c r="C293" t="s">
        <v>159</v>
      </c>
      <c r="D293" t="s">
        <v>4</v>
      </c>
      <c r="E293" t="s">
        <v>22</v>
      </c>
      <c r="F293" t="s">
        <v>23</v>
      </c>
      <c r="G293" t="s">
        <v>43</v>
      </c>
      <c r="H293">
        <v>27</v>
      </c>
      <c r="I293" s="1">
        <v>43871</v>
      </c>
      <c r="J293" s="2">
        <v>42969</v>
      </c>
      <c r="K293" s="3">
        <v>0</v>
      </c>
      <c r="L293" t="s">
        <v>25</v>
      </c>
      <c r="M293" t="s">
        <v>51</v>
      </c>
      <c r="N293" s="2">
        <f>Employee_Data[[#This Row],[Basic Salary]]*10%</f>
        <v>358.07500000000005</v>
      </c>
      <c r="O293" s="4">
        <f>Employee_Data[[#This Row],[Basic Salary]]*7.5%</f>
        <v>268.55624999999998</v>
      </c>
      <c r="P293" s="2">
        <f>Employee_Data[[#This Row],[Basic Salary]]*3%</f>
        <v>107.4225</v>
      </c>
      <c r="Q293" s="2">
        <f>SUM(Employee_Data[[#This Row],[Basic Salary]],Employee_Data[[#This Row],[HRA]],Employee_Data[[#This Row],[MA]],Employee_Data[[#This Row],[TA]])</f>
        <v>4314.8037499999991</v>
      </c>
      <c r="R293" s="4">
        <f>Employee_Data[[#This Row],[Basic Salary]]*12.5%</f>
        <v>447.59375</v>
      </c>
      <c r="S293" s="2">
        <f>Employee_Data[[#This Row],[Annual Salary]]/12</f>
        <v>3580.75</v>
      </c>
    </row>
    <row r="294" spans="1:19" x14ac:dyDescent="0.3">
      <c r="A294" t="s">
        <v>666</v>
      </c>
      <c r="B294" t="s">
        <v>667</v>
      </c>
      <c r="C294" t="s">
        <v>89</v>
      </c>
      <c r="D294" t="s">
        <v>80</v>
      </c>
      <c r="E294" t="s">
        <v>22</v>
      </c>
      <c r="F294" t="s">
        <v>23</v>
      </c>
      <c r="G294" t="s">
        <v>66</v>
      </c>
      <c r="H294">
        <v>47</v>
      </c>
      <c r="I294" s="1">
        <v>44605</v>
      </c>
      <c r="J294" s="2">
        <v>214303</v>
      </c>
      <c r="K294" s="3">
        <v>0.4</v>
      </c>
      <c r="L294" t="s">
        <v>25</v>
      </c>
      <c r="M294" t="s">
        <v>44</v>
      </c>
      <c r="N294" s="2">
        <f>Employee_Data[[#This Row],[Basic Salary]]*10%</f>
        <v>1785.8583333333333</v>
      </c>
      <c r="O294" s="4">
        <f>Employee_Data[[#This Row],[Basic Salary]]*7.5%</f>
        <v>1339.39375</v>
      </c>
      <c r="P294" s="2">
        <f>Employee_Data[[#This Row],[Basic Salary]]*3%</f>
        <v>535.75749999999994</v>
      </c>
      <c r="Q294" s="2">
        <f>SUM(Employee_Data[[#This Row],[Basic Salary]],Employee_Data[[#This Row],[HRA]],Employee_Data[[#This Row],[MA]],Employee_Data[[#This Row],[TA]])</f>
        <v>21519.592916666665</v>
      </c>
      <c r="R294" s="4">
        <f>Employee_Data[[#This Row],[Basic Salary]]*12.5%</f>
        <v>2232.3229166666665</v>
      </c>
      <c r="S294" s="2">
        <f>Employee_Data[[#This Row],[Annual Salary]]/12</f>
        <v>17858.583333333332</v>
      </c>
    </row>
    <row r="295" spans="1:19" x14ac:dyDescent="0.3">
      <c r="A295" t="s">
        <v>668</v>
      </c>
      <c r="B295" t="s">
        <v>669</v>
      </c>
      <c r="C295" t="s">
        <v>89</v>
      </c>
      <c r="D295" t="s">
        <v>55</v>
      </c>
      <c r="E295" t="s">
        <v>56</v>
      </c>
      <c r="F295" t="s">
        <v>42</v>
      </c>
      <c r="G295" t="s">
        <v>24</v>
      </c>
      <c r="H295">
        <v>28</v>
      </c>
      <c r="I295" s="1">
        <v>44184</v>
      </c>
      <c r="J295" s="2">
        <v>199406</v>
      </c>
      <c r="K295" s="3">
        <v>0.38</v>
      </c>
      <c r="L295" t="s">
        <v>37</v>
      </c>
      <c r="M295" t="s">
        <v>62</v>
      </c>
      <c r="N295" s="2">
        <f>Employee_Data[[#This Row],[Basic Salary]]*10%</f>
        <v>1661.7166666666669</v>
      </c>
      <c r="O295" s="4">
        <f>Employee_Data[[#This Row],[Basic Salary]]*7.5%</f>
        <v>1246.2875000000001</v>
      </c>
      <c r="P295" s="2">
        <f>Employee_Data[[#This Row],[Basic Salary]]*3%</f>
        <v>498.51500000000004</v>
      </c>
      <c r="Q295" s="2">
        <f>SUM(Employee_Data[[#This Row],[Basic Salary]],Employee_Data[[#This Row],[HRA]],Employee_Data[[#This Row],[MA]],Employee_Data[[#This Row],[TA]])</f>
        <v>20023.685833333333</v>
      </c>
      <c r="R295" s="4">
        <f>Employee_Data[[#This Row],[Basic Salary]]*12.5%</f>
        <v>2077.1458333333335</v>
      </c>
      <c r="S295" s="2">
        <f>Employee_Data[[#This Row],[Annual Salary]]/12</f>
        <v>16617.166666666668</v>
      </c>
    </row>
    <row r="296" spans="1:19" x14ac:dyDescent="0.3">
      <c r="A296" t="s">
        <v>670</v>
      </c>
      <c r="B296" t="s">
        <v>671</v>
      </c>
      <c r="C296" t="s">
        <v>89</v>
      </c>
      <c r="D296" t="s">
        <v>126</v>
      </c>
      <c r="E296" t="s">
        <v>36</v>
      </c>
      <c r="F296" t="s">
        <v>42</v>
      </c>
      <c r="G296" t="s">
        <v>24</v>
      </c>
      <c r="H296">
        <v>35</v>
      </c>
      <c r="I296" s="1">
        <v>42083</v>
      </c>
      <c r="J296" s="2">
        <v>182436</v>
      </c>
      <c r="K296" s="3">
        <v>0.37</v>
      </c>
      <c r="L296" t="s">
        <v>25</v>
      </c>
      <c r="M296" t="s">
        <v>48</v>
      </c>
      <c r="N296" s="2">
        <f>Employee_Data[[#This Row],[Basic Salary]]*10%</f>
        <v>1520.3000000000002</v>
      </c>
      <c r="O296" s="4">
        <f>Employee_Data[[#This Row],[Basic Salary]]*7.5%</f>
        <v>1140.2249999999999</v>
      </c>
      <c r="P296" s="2">
        <f>Employee_Data[[#This Row],[Basic Salary]]*3%</f>
        <v>456.09</v>
      </c>
      <c r="Q296" s="2">
        <f>SUM(Employee_Data[[#This Row],[Basic Salary]],Employee_Data[[#This Row],[HRA]],Employee_Data[[#This Row],[MA]],Employee_Data[[#This Row],[TA]])</f>
        <v>18319.614999999998</v>
      </c>
      <c r="R296" s="4">
        <f>Employee_Data[[#This Row],[Basic Salary]]*12.5%</f>
        <v>1900.375</v>
      </c>
      <c r="S296" s="2">
        <f>Employee_Data[[#This Row],[Annual Salary]]/12</f>
        <v>15203</v>
      </c>
    </row>
    <row r="297" spans="1:19" x14ac:dyDescent="0.3">
      <c r="A297" t="s">
        <v>672</v>
      </c>
      <c r="B297" t="s">
        <v>673</v>
      </c>
      <c r="C297" t="s">
        <v>180</v>
      </c>
      <c r="D297" t="s">
        <v>4</v>
      </c>
      <c r="E297" t="s">
        <v>31</v>
      </c>
      <c r="F297" t="s">
        <v>42</v>
      </c>
      <c r="G297" t="s">
        <v>43</v>
      </c>
      <c r="H297">
        <v>59</v>
      </c>
      <c r="I297" s="1">
        <v>35339</v>
      </c>
      <c r="J297" s="2">
        <v>96507</v>
      </c>
      <c r="K297" s="3">
        <v>0.09</v>
      </c>
      <c r="L297" t="s">
        <v>25</v>
      </c>
      <c r="M297" t="s">
        <v>44</v>
      </c>
      <c r="N297" s="2">
        <f>Employee_Data[[#This Row],[Basic Salary]]*10%</f>
        <v>804.22500000000002</v>
      </c>
      <c r="O297" s="4">
        <f>Employee_Data[[#This Row],[Basic Salary]]*7.5%</f>
        <v>603.16874999999993</v>
      </c>
      <c r="P297" s="2">
        <f>Employee_Data[[#This Row],[Basic Salary]]*3%</f>
        <v>241.26749999999998</v>
      </c>
      <c r="Q297" s="2">
        <f>SUM(Employee_Data[[#This Row],[Basic Salary]],Employee_Data[[#This Row],[HRA]],Employee_Data[[#This Row],[MA]],Employee_Data[[#This Row],[TA]])</f>
        <v>9690.911250000001</v>
      </c>
      <c r="R297" s="4">
        <f>Employee_Data[[#This Row],[Basic Salary]]*12.5%</f>
        <v>1005.28125</v>
      </c>
      <c r="S297" s="2">
        <f>Employee_Data[[#This Row],[Annual Salary]]/12</f>
        <v>8042.25</v>
      </c>
    </row>
    <row r="298" spans="1:19" x14ac:dyDescent="0.3">
      <c r="A298" t="s">
        <v>674</v>
      </c>
      <c r="B298" t="s">
        <v>675</v>
      </c>
      <c r="C298" t="s">
        <v>292</v>
      </c>
      <c r="D298" t="s">
        <v>21</v>
      </c>
      <c r="E298" t="s">
        <v>22</v>
      </c>
      <c r="F298" t="s">
        <v>23</v>
      </c>
      <c r="G298" t="s">
        <v>24</v>
      </c>
      <c r="H298">
        <v>33</v>
      </c>
      <c r="I298" s="1">
        <v>42327</v>
      </c>
      <c r="J298" s="2">
        <v>82906</v>
      </c>
      <c r="K298" s="3">
        <v>0</v>
      </c>
      <c r="L298" t="s">
        <v>37</v>
      </c>
      <c r="M298" t="s">
        <v>62</v>
      </c>
      <c r="N298" s="2">
        <f>Employee_Data[[#This Row],[Basic Salary]]*10%</f>
        <v>690.88333333333333</v>
      </c>
      <c r="O298" s="4">
        <f>Employee_Data[[#This Row],[Basic Salary]]*7.5%</f>
        <v>518.16249999999991</v>
      </c>
      <c r="P298" s="2">
        <f>Employee_Data[[#This Row],[Basic Salary]]*3%</f>
        <v>207.26499999999999</v>
      </c>
      <c r="Q298" s="2">
        <f>SUM(Employee_Data[[#This Row],[Basic Salary]],Employee_Data[[#This Row],[HRA]],Employee_Data[[#This Row],[MA]],Employee_Data[[#This Row],[TA]])</f>
        <v>8325.1441666666651</v>
      </c>
      <c r="R298" s="4">
        <f>Employee_Data[[#This Row],[Basic Salary]]*12.5%</f>
        <v>863.60416666666663</v>
      </c>
      <c r="S298" s="2">
        <f>Employee_Data[[#This Row],[Annual Salary]]/12</f>
        <v>6908.833333333333</v>
      </c>
    </row>
    <row r="299" spans="1:19" x14ac:dyDescent="0.3">
      <c r="A299" t="s">
        <v>676</v>
      </c>
      <c r="B299" t="s">
        <v>677</v>
      </c>
      <c r="C299" t="s">
        <v>131</v>
      </c>
      <c r="D299" t="s">
        <v>126</v>
      </c>
      <c r="E299" t="s">
        <v>22</v>
      </c>
      <c r="F299" t="s">
        <v>42</v>
      </c>
      <c r="G299" t="s">
        <v>24</v>
      </c>
      <c r="H299">
        <v>62</v>
      </c>
      <c r="I299" s="1">
        <v>38691</v>
      </c>
      <c r="J299" s="2">
        <v>41616</v>
      </c>
      <c r="K299" s="3">
        <v>0</v>
      </c>
      <c r="L299" t="s">
        <v>25</v>
      </c>
      <c r="M299" t="s">
        <v>44</v>
      </c>
      <c r="N299" s="2">
        <f>Employee_Data[[#This Row],[Basic Salary]]*10%</f>
        <v>346.8</v>
      </c>
      <c r="O299" s="4">
        <f>Employee_Data[[#This Row],[Basic Salary]]*7.5%</f>
        <v>260.09999999999997</v>
      </c>
      <c r="P299" s="2">
        <f>Employee_Data[[#This Row],[Basic Salary]]*3%</f>
        <v>104.03999999999999</v>
      </c>
      <c r="Q299" s="2">
        <f>SUM(Employee_Data[[#This Row],[Basic Salary]],Employee_Data[[#This Row],[HRA]],Employee_Data[[#This Row],[MA]],Employee_Data[[#This Row],[TA]])</f>
        <v>4178.9400000000005</v>
      </c>
      <c r="R299" s="4">
        <f>Employee_Data[[#This Row],[Basic Salary]]*12.5%</f>
        <v>433.5</v>
      </c>
      <c r="S299" s="2">
        <f>Employee_Data[[#This Row],[Annual Salary]]/12</f>
        <v>3468</v>
      </c>
    </row>
    <row r="300" spans="1:19" x14ac:dyDescent="0.3">
      <c r="A300" t="s">
        <v>678</v>
      </c>
      <c r="B300" t="s">
        <v>679</v>
      </c>
      <c r="C300" t="s">
        <v>355</v>
      </c>
      <c r="D300" t="s">
        <v>4</v>
      </c>
      <c r="E300" t="s">
        <v>31</v>
      </c>
      <c r="F300" t="s">
        <v>42</v>
      </c>
      <c r="G300" t="s">
        <v>66</v>
      </c>
      <c r="H300">
        <v>50</v>
      </c>
      <c r="I300" s="1">
        <v>37802</v>
      </c>
      <c r="J300" s="2">
        <v>92344</v>
      </c>
      <c r="K300" s="3">
        <v>0</v>
      </c>
      <c r="L300" t="s">
        <v>25</v>
      </c>
      <c r="M300" t="s">
        <v>51</v>
      </c>
      <c r="N300" s="2">
        <f>Employee_Data[[#This Row],[Basic Salary]]*10%</f>
        <v>769.5333333333333</v>
      </c>
      <c r="O300" s="4">
        <f>Employee_Data[[#This Row],[Basic Salary]]*7.5%</f>
        <v>577.15</v>
      </c>
      <c r="P300" s="2">
        <f>Employee_Data[[#This Row],[Basic Salary]]*3%</f>
        <v>230.85999999999999</v>
      </c>
      <c r="Q300" s="2">
        <f>SUM(Employee_Data[[#This Row],[Basic Salary]],Employee_Data[[#This Row],[HRA]],Employee_Data[[#This Row],[MA]],Employee_Data[[#This Row],[TA]])</f>
        <v>9272.876666666667</v>
      </c>
      <c r="R300" s="4">
        <f>Employee_Data[[#This Row],[Basic Salary]]*12.5%</f>
        <v>961.91666666666663</v>
      </c>
      <c r="S300" s="2">
        <f>Employee_Data[[#This Row],[Annual Salary]]/12</f>
        <v>7695.333333333333</v>
      </c>
    </row>
    <row r="301" spans="1:19" x14ac:dyDescent="0.3">
      <c r="A301" t="s">
        <v>680</v>
      </c>
      <c r="B301" t="s">
        <v>681</v>
      </c>
      <c r="C301" t="s">
        <v>89</v>
      </c>
      <c r="D301" t="s">
        <v>55</v>
      </c>
      <c r="E301" t="s">
        <v>22</v>
      </c>
      <c r="F301" t="s">
        <v>42</v>
      </c>
      <c r="G301" t="s">
        <v>24</v>
      </c>
      <c r="H301">
        <v>55</v>
      </c>
      <c r="I301" s="1">
        <v>38895</v>
      </c>
      <c r="J301" s="2">
        <v>196614</v>
      </c>
      <c r="K301" s="3">
        <v>0.37</v>
      </c>
      <c r="L301" t="s">
        <v>25</v>
      </c>
      <c r="M301" t="s">
        <v>32</v>
      </c>
      <c r="N301" s="2">
        <f>Employee_Data[[#This Row],[Basic Salary]]*10%</f>
        <v>1638.45</v>
      </c>
      <c r="O301" s="4">
        <f>Employee_Data[[#This Row],[Basic Salary]]*7.5%</f>
        <v>1228.8374999999999</v>
      </c>
      <c r="P301" s="2">
        <f>Employee_Data[[#This Row],[Basic Salary]]*3%</f>
        <v>491.53499999999997</v>
      </c>
      <c r="Q301" s="2">
        <f>SUM(Employee_Data[[#This Row],[Basic Salary]],Employee_Data[[#This Row],[HRA]],Employee_Data[[#This Row],[MA]],Employee_Data[[#This Row],[TA]])</f>
        <v>19743.322500000002</v>
      </c>
      <c r="R301" s="4">
        <f>Employee_Data[[#This Row],[Basic Salary]]*12.5%</f>
        <v>2048.0625</v>
      </c>
      <c r="S301" s="2">
        <f>Employee_Data[[#This Row],[Annual Salary]]/12</f>
        <v>16384.5</v>
      </c>
    </row>
    <row r="302" spans="1:19" x14ac:dyDescent="0.3">
      <c r="A302" t="s">
        <v>682</v>
      </c>
      <c r="B302" t="s">
        <v>683</v>
      </c>
      <c r="C302" t="s">
        <v>69</v>
      </c>
      <c r="D302" t="s">
        <v>4</v>
      </c>
      <c r="E302" t="s">
        <v>36</v>
      </c>
      <c r="F302" t="s">
        <v>42</v>
      </c>
      <c r="G302" t="s">
        <v>43</v>
      </c>
      <c r="H302">
        <v>47</v>
      </c>
      <c r="I302" s="1">
        <v>44598</v>
      </c>
      <c r="J302" s="2">
        <v>104253</v>
      </c>
      <c r="K302" s="3">
        <v>0.09</v>
      </c>
      <c r="L302" t="s">
        <v>25</v>
      </c>
      <c r="M302" t="s">
        <v>44</v>
      </c>
      <c r="N302" s="2">
        <f>Employee_Data[[#This Row],[Basic Salary]]*10%</f>
        <v>868.77500000000009</v>
      </c>
      <c r="O302" s="4">
        <f>Employee_Data[[#This Row],[Basic Salary]]*7.5%</f>
        <v>651.58124999999995</v>
      </c>
      <c r="P302" s="2">
        <f>Employee_Data[[#This Row],[Basic Salary]]*3%</f>
        <v>260.63249999999999</v>
      </c>
      <c r="Q302" s="2">
        <f>SUM(Employee_Data[[#This Row],[Basic Salary]],Employee_Data[[#This Row],[HRA]],Employee_Data[[#This Row],[MA]],Employee_Data[[#This Row],[TA]])</f>
        <v>10468.738749999999</v>
      </c>
      <c r="R302" s="4">
        <f>Employee_Data[[#This Row],[Basic Salary]]*12.5%</f>
        <v>1085.96875</v>
      </c>
      <c r="S302" s="2">
        <f>Employee_Data[[#This Row],[Annual Salary]]/12</f>
        <v>8687.75</v>
      </c>
    </row>
    <row r="303" spans="1:19" x14ac:dyDescent="0.3">
      <c r="A303" t="s">
        <v>684</v>
      </c>
      <c r="B303" t="s">
        <v>685</v>
      </c>
      <c r="C303" t="s">
        <v>159</v>
      </c>
      <c r="D303" t="s">
        <v>4</v>
      </c>
      <c r="E303" t="s">
        <v>56</v>
      </c>
      <c r="F303" t="s">
        <v>42</v>
      </c>
      <c r="G303" t="s">
        <v>24</v>
      </c>
      <c r="H303">
        <v>34</v>
      </c>
      <c r="I303" s="1">
        <v>44218</v>
      </c>
      <c r="J303" s="2">
        <v>44677</v>
      </c>
      <c r="K303" s="3">
        <v>0</v>
      </c>
      <c r="L303" t="s">
        <v>37</v>
      </c>
      <c r="M303" t="s">
        <v>57</v>
      </c>
      <c r="N303" s="2">
        <f>Employee_Data[[#This Row],[Basic Salary]]*10%</f>
        <v>372.30833333333339</v>
      </c>
      <c r="O303" s="4">
        <f>Employee_Data[[#This Row],[Basic Salary]]*7.5%</f>
        <v>279.23124999999999</v>
      </c>
      <c r="P303" s="2">
        <f>Employee_Data[[#This Row],[Basic Salary]]*3%</f>
        <v>111.6925</v>
      </c>
      <c r="Q303" s="2">
        <f>SUM(Employee_Data[[#This Row],[Basic Salary]],Employee_Data[[#This Row],[HRA]],Employee_Data[[#This Row],[MA]],Employee_Data[[#This Row],[TA]])</f>
        <v>4486.3154166666673</v>
      </c>
      <c r="R303" s="4">
        <f>Employee_Data[[#This Row],[Basic Salary]]*12.5%</f>
        <v>465.38541666666669</v>
      </c>
      <c r="S303" s="2">
        <f>Employee_Data[[#This Row],[Annual Salary]]/12</f>
        <v>3723.0833333333335</v>
      </c>
    </row>
    <row r="304" spans="1:19" x14ac:dyDescent="0.3">
      <c r="A304" t="s">
        <v>686</v>
      </c>
      <c r="B304" t="s">
        <v>687</v>
      </c>
      <c r="C304" t="s">
        <v>355</v>
      </c>
      <c r="D304" t="s">
        <v>4</v>
      </c>
      <c r="E304" t="s">
        <v>36</v>
      </c>
      <c r="F304" t="s">
        <v>42</v>
      </c>
      <c r="G304" t="s">
        <v>24</v>
      </c>
      <c r="H304">
        <v>39</v>
      </c>
      <c r="I304" s="1">
        <v>43082</v>
      </c>
      <c r="J304" s="2">
        <v>66463</v>
      </c>
      <c r="K304" s="3">
        <v>0</v>
      </c>
      <c r="L304" t="s">
        <v>37</v>
      </c>
      <c r="M304" t="s">
        <v>57</v>
      </c>
      <c r="N304" s="2">
        <f>Employee_Data[[#This Row],[Basic Salary]]*10%</f>
        <v>553.85833333333335</v>
      </c>
      <c r="O304" s="4">
        <f>Employee_Data[[#This Row],[Basic Salary]]*7.5%</f>
        <v>415.39374999999995</v>
      </c>
      <c r="P304" s="2">
        <f>Employee_Data[[#This Row],[Basic Salary]]*3%</f>
        <v>166.1575</v>
      </c>
      <c r="Q304" s="2">
        <f>SUM(Employee_Data[[#This Row],[Basic Salary]],Employee_Data[[#This Row],[HRA]],Employee_Data[[#This Row],[MA]],Employee_Data[[#This Row],[TA]])</f>
        <v>6673.992916666667</v>
      </c>
      <c r="R304" s="4">
        <f>Employee_Data[[#This Row],[Basic Salary]]*12.5%</f>
        <v>692.32291666666663</v>
      </c>
      <c r="S304" s="2">
        <f>Employee_Data[[#This Row],[Annual Salary]]/12</f>
        <v>5538.583333333333</v>
      </c>
    </row>
    <row r="305" spans="1:19" x14ac:dyDescent="0.3">
      <c r="A305" t="s">
        <v>688</v>
      </c>
      <c r="B305" t="s">
        <v>689</v>
      </c>
      <c r="C305" t="s">
        <v>131</v>
      </c>
      <c r="D305" t="s">
        <v>126</v>
      </c>
      <c r="E305" t="s">
        <v>31</v>
      </c>
      <c r="F305" t="s">
        <v>42</v>
      </c>
      <c r="G305" t="s">
        <v>43</v>
      </c>
      <c r="H305">
        <v>35</v>
      </c>
      <c r="I305" s="1">
        <v>42355</v>
      </c>
      <c r="J305" s="2">
        <v>53285</v>
      </c>
      <c r="K305" s="3">
        <v>0</v>
      </c>
      <c r="L305" t="s">
        <v>25</v>
      </c>
      <c r="M305" t="s">
        <v>26</v>
      </c>
      <c r="N305" s="2">
        <f>Employee_Data[[#This Row],[Basic Salary]]*10%</f>
        <v>444.04166666666674</v>
      </c>
      <c r="O305" s="4">
        <f>Employee_Data[[#This Row],[Basic Salary]]*7.5%</f>
        <v>333.03125</v>
      </c>
      <c r="P305" s="2">
        <f>Employee_Data[[#This Row],[Basic Salary]]*3%</f>
        <v>133.21250000000001</v>
      </c>
      <c r="Q305" s="2">
        <f>SUM(Employee_Data[[#This Row],[Basic Salary]],Employee_Data[[#This Row],[HRA]],Employee_Data[[#This Row],[MA]],Employee_Data[[#This Row],[TA]])</f>
        <v>5350.7020833333336</v>
      </c>
      <c r="R305" s="4">
        <f>Employee_Data[[#This Row],[Basic Salary]]*12.5%</f>
        <v>555.05208333333337</v>
      </c>
      <c r="S305" s="2">
        <f>Employee_Data[[#This Row],[Annual Salary]]/12</f>
        <v>4440.416666666667</v>
      </c>
    </row>
    <row r="306" spans="1:19" x14ac:dyDescent="0.3">
      <c r="A306" t="s">
        <v>690</v>
      </c>
      <c r="B306" t="s">
        <v>691</v>
      </c>
      <c r="C306" t="s">
        <v>408</v>
      </c>
      <c r="D306" t="s">
        <v>21</v>
      </c>
      <c r="E306" t="s">
        <v>36</v>
      </c>
      <c r="F306" t="s">
        <v>23</v>
      </c>
      <c r="G306" t="s">
        <v>24</v>
      </c>
      <c r="H306">
        <v>54</v>
      </c>
      <c r="I306" s="1">
        <v>35511</v>
      </c>
      <c r="J306" s="2">
        <v>67683</v>
      </c>
      <c r="K306" s="3">
        <v>0</v>
      </c>
      <c r="L306" t="s">
        <v>37</v>
      </c>
      <c r="M306" t="s">
        <v>111</v>
      </c>
      <c r="N306" s="2">
        <f>Employee_Data[[#This Row],[Basic Salary]]*10%</f>
        <v>564.02499999999998</v>
      </c>
      <c r="O306" s="4">
        <f>Employee_Data[[#This Row],[Basic Salary]]*7.5%</f>
        <v>423.01875000000001</v>
      </c>
      <c r="P306" s="2">
        <f>Employee_Data[[#This Row],[Basic Salary]]*3%</f>
        <v>169.20749999999998</v>
      </c>
      <c r="Q306" s="2">
        <f>SUM(Employee_Data[[#This Row],[Basic Salary]],Employee_Data[[#This Row],[HRA]],Employee_Data[[#This Row],[MA]],Employee_Data[[#This Row],[TA]])</f>
        <v>6796.5012499999993</v>
      </c>
      <c r="R306" s="4">
        <f>Employee_Data[[#This Row],[Basic Salary]]*12.5%</f>
        <v>705.03125</v>
      </c>
      <c r="S306" s="2">
        <f>Employee_Data[[#This Row],[Annual Salary]]/12</f>
        <v>5640.25</v>
      </c>
    </row>
    <row r="307" spans="1:19" x14ac:dyDescent="0.3">
      <c r="A307" t="s">
        <v>692</v>
      </c>
      <c r="B307" t="s">
        <v>693</v>
      </c>
      <c r="C307" t="s">
        <v>89</v>
      </c>
      <c r="D307" t="s">
        <v>61</v>
      </c>
      <c r="E307" t="s">
        <v>22</v>
      </c>
      <c r="F307" t="s">
        <v>42</v>
      </c>
      <c r="G307" t="s">
        <v>24</v>
      </c>
      <c r="H307">
        <v>41</v>
      </c>
      <c r="I307" s="1">
        <v>43402</v>
      </c>
      <c r="J307" s="2">
        <v>238155</v>
      </c>
      <c r="K307" s="3">
        <v>0.38</v>
      </c>
      <c r="L307" t="s">
        <v>37</v>
      </c>
      <c r="M307" t="s">
        <v>38</v>
      </c>
      <c r="N307" s="2">
        <f>Employee_Data[[#This Row],[Basic Salary]]*10%</f>
        <v>1984.625</v>
      </c>
      <c r="O307" s="4">
        <f>Employee_Data[[#This Row],[Basic Salary]]*7.5%</f>
        <v>1488.46875</v>
      </c>
      <c r="P307" s="2">
        <f>Employee_Data[[#This Row],[Basic Salary]]*3%</f>
        <v>595.38749999999993</v>
      </c>
      <c r="Q307" s="2">
        <f>SUM(Employee_Data[[#This Row],[Basic Salary]],Employee_Data[[#This Row],[HRA]],Employee_Data[[#This Row],[MA]],Employee_Data[[#This Row],[TA]])</f>
        <v>23914.731250000001</v>
      </c>
      <c r="R307" s="4">
        <f>Employee_Data[[#This Row],[Basic Salary]]*12.5%</f>
        <v>2480.78125</v>
      </c>
      <c r="S307" s="2">
        <f>Employee_Data[[#This Row],[Annual Salary]]/12</f>
        <v>19846.25</v>
      </c>
    </row>
    <row r="308" spans="1:19" x14ac:dyDescent="0.3">
      <c r="A308" t="s">
        <v>694</v>
      </c>
      <c r="B308" t="s">
        <v>695</v>
      </c>
      <c r="C308" t="s">
        <v>47</v>
      </c>
      <c r="D308" t="s">
        <v>30</v>
      </c>
      <c r="E308" t="s">
        <v>31</v>
      </c>
      <c r="F308" t="s">
        <v>23</v>
      </c>
      <c r="G308" t="s">
        <v>24</v>
      </c>
      <c r="H308">
        <v>37</v>
      </c>
      <c r="I308" s="1">
        <v>43637</v>
      </c>
      <c r="J308" s="2">
        <v>173630</v>
      </c>
      <c r="K308" s="3">
        <v>0.24</v>
      </c>
      <c r="L308" t="s">
        <v>37</v>
      </c>
      <c r="M308" t="s">
        <v>57</v>
      </c>
      <c r="N308" s="2">
        <f>Employee_Data[[#This Row],[Basic Salary]]*10%</f>
        <v>1446.9166666666667</v>
      </c>
      <c r="O308" s="4">
        <f>Employee_Data[[#This Row],[Basic Salary]]*7.5%</f>
        <v>1085.1875</v>
      </c>
      <c r="P308" s="2">
        <f>Employee_Data[[#This Row],[Basic Salary]]*3%</f>
        <v>434.07499999999999</v>
      </c>
      <c r="Q308" s="2">
        <f>SUM(Employee_Data[[#This Row],[Basic Salary]],Employee_Data[[#This Row],[HRA]],Employee_Data[[#This Row],[MA]],Employee_Data[[#This Row],[TA]])</f>
        <v>17435.345833333333</v>
      </c>
      <c r="R308" s="4">
        <f>Employee_Data[[#This Row],[Basic Salary]]*12.5%</f>
        <v>1808.6458333333333</v>
      </c>
      <c r="S308" s="2">
        <f>Employee_Data[[#This Row],[Annual Salary]]/12</f>
        <v>14469.166666666666</v>
      </c>
    </row>
    <row r="309" spans="1:19" x14ac:dyDescent="0.3">
      <c r="A309" t="s">
        <v>696</v>
      </c>
      <c r="B309" t="s">
        <v>697</v>
      </c>
      <c r="C309" t="s">
        <v>54</v>
      </c>
      <c r="D309" t="s">
        <v>61</v>
      </c>
      <c r="E309" t="s">
        <v>36</v>
      </c>
      <c r="F309" t="s">
        <v>42</v>
      </c>
      <c r="G309" t="s">
        <v>84</v>
      </c>
      <c r="H309">
        <v>29</v>
      </c>
      <c r="I309" s="1">
        <v>43857</v>
      </c>
      <c r="J309" s="2">
        <v>98992</v>
      </c>
      <c r="K309" s="3">
        <v>0</v>
      </c>
      <c r="L309" t="s">
        <v>25</v>
      </c>
      <c r="M309" t="s">
        <v>70</v>
      </c>
      <c r="N309" s="2">
        <f>Employee_Data[[#This Row],[Basic Salary]]*10%</f>
        <v>824.93333333333339</v>
      </c>
      <c r="O309" s="4">
        <f>Employee_Data[[#This Row],[Basic Salary]]*7.5%</f>
        <v>618.70000000000005</v>
      </c>
      <c r="P309" s="2">
        <f>Employee_Data[[#This Row],[Basic Salary]]*3%</f>
        <v>247.48000000000002</v>
      </c>
      <c r="Q309" s="2">
        <f>SUM(Employee_Data[[#This Row],[Basic Salary]],Employee_Data[[#This Row],[HRA]],Employee_Data[[#This Row],[MA]],Employee_Data[[#This Row],[TA]])</f>
        <v>9940.4466666666667</v>
      </c>
      <c r="R309" s="4">
        <f>Employee_Data[[#This Row],[Basic Salary]]*12.5%</f>
        <v>1031.1666666666667</v>
      </c>
      <c r="S309" s="2">
        <f>Employee_Data[[#This Row],[Annual Salary]]/12</f>
        <v>8249.3333333333339</v>
      </c>
    </row>
    <row r="310" spans="1:19" x14ac:dyDescent="0.3">
      <c r="A310" t="s">
        <v>698</v>
      </c>
      <c r="B310" t="s">
        <v>699</v>
      </c>
      <c r="C310" t="s">
        <v>89</v>
      </c>
      <c r="D310" t="s">
        <v>4</v>
      </c>
      <c r="E310" t="s">
        <v>31</v>
      </c>
      <c r="F310" t="s">
        <v>42</v>
      </c>
      <c r="G310" t="s">
        <v>24</v>
      </c>
      <c r="H310">
        <v>64</v>
      </c>
      <c r="I310" s="1">
        <v>42836</v>
      </c>
      <c r="J310" s="2">
        <v>253330</v>
      </c>
      <c r="K310" s="3">
        <v>0.39</v>
      </c>
      <c r="L310" t="s">
        <v>25</v>
      </c>
      <c r="M310" t="s">
        <v>48</v>
      </c>
      <c r="N310" s="2">
        <f>Employee_Data[[#This Row],[Basic Salary]]*10%</f>
        <v>2111.0833333333335</v>
      </c>
      <c r="O310" s="4">
        <f>Employee_Data[[#This Row],[Basic Salary]]*7.5%</f>
        <v>1583.3124999999998</v>
      </c>
      <c r="P310" s="2">
        <f>Employee_Data[[#This Row],[Basic Salary]]*3%</f>
        <v>633.32499999999993</v>
      </c>
      <c r="Q310" s="2">
        <f>SUM(Employee_Data[[#This Row],[Basic Salary]],Employee_Data[[#This Row],[HRA]],Employee_Data[[#This Row],[MA]],Employee_Data[[#This Row],[TA]])</f>
        <v>25438.554166666665</v>
      </c>
      <c r="R310" s="4">
        <f>Employee_Data[[#This Row],[Basic Salary]]*12.5%</f>
        <v>2638.8541666666665</v>
      </c>
      <c r="S310" s="2">
        <f>Employee_Data[[#This Row],[Annual Salary]]/12</f>
        <v>21110.833333333332</v>
      </c>
    </row>
    <row r="311" spans="1:19" x14ac:dyDescent="0.3">
      <c r="A311" t="s">
        <v>700</v>
      </c>
      <c r="B311" t="s">
        <v>701</v>
      </c>
      <c r="C311" t="s">
        <v>83</v>
      </c>
      <c r="D311" t="s">
        <v>30</v>
      </c>
      <c r="E311" t="s">
        <v>31</v>
      </c>
      <c r="F311" t="s">
        <v>42</v>
      </c>
      <c r="G311" t="s">
        <v>66</v>
      </c>
      <c r="H311">
        <v>54</v>
      </c>
      <c r="I311" s="1">
        <v>40769</v>
      </c>
      <c r="J311" s="2">
        <v>158403</v>
      </c>
      <c r="K311" s="3">
        <v>0.14000000000000001</v>
      </c>
      <c r="L311" t="s">
        <v>25</v>
      </c>
      <c r="M311" t="s">
        <v>44</v>
      </c>
      <c r="N311" s="2">
        <f>Employee_Data[[#This Row],[Basic Salary]]*10%</f>
        <v>1320.0250000000001</v>
      </c>
      <c r="O311" s="4">
        <f>Employee_Data[[#This Row],[Basic Salary]]*7.5%</f>
        <v>990.01874999999995</v>
      </c>
      <c r="P311" s="2">
        <f>Employee_Data[[#This Row],[Basic Salary]]*3%</f>
        <v>396.00749999999999</v>
      </c>
      <c r="Q311" s="2">
        <f>SUM(Employee_Data[[#This Row],[Basic Salary]],Employee_Data[[#This Row],[HRA]],Employee_Data[[#This Row],[MA]],Employee_Data[[#This Row],[TA]])</f>
        <v>15906.301249999999</v>
      </c>
      <c r="R311" s="4">
        <f>Employee_Data[[#This Row],[Basic Salary]]*12.5%</f>
        <v>1650.03125</v>
      </c>
      <c r="S311" s="2">
        <f>Employee_Data[[#This Row],[Annual Salary]]/12</f>
        <v>13200.25</v>
      </c>
    </row>
    <row r="312" spans="1:19" x14ac:dyDescent="0.3">
      <c r="A312" t="s">
        <v>702</v>
      </c>
      <c r="B312" t="s">
        <v>703</v>
      </c>
      <c r="C312" t="s">
        <v>83</v>
      </c>
      <c r="D312" t="s">
        <v>55</v>
      </c>
      <c r="E312" t="s">
        <v>31</v>
      </c>
      <c r="F312" t="s">
        <v>23</v>
      </c>
      <c r="G312" t="s">
        <v>66</v>
      </c>
      <c r="H312">
        <v>36</v>
      </c>
      <c r="I312" s="1">
        <v>44282</v>
      </c>
      <c r="J312" s="2">
        <v>156085</v>
      </c>
      <c r="K312" s="3">
        <v>0.12</v>
      </c>
      <c r="L312" t="s">
        <v>25</v>
      </c>
      <c r="M312" t="s">
        <v>70</v>
      </c>
      <c r="N312" s="2">
        <f>Employee_Data[[#This Row],[Basic Salary]]*10%</f>
        <v>1300.7083333333335</v>
      </c>
      <c r="O312" s="4">
        <f>Employee_Data[[#This Row],[Basic Salary]]*7.5%</f>
        <v>975.53125</v>
      </c>
      <c r="P312" s="2">
        <f>Employee_Data[[#This Row],[Basic Salary]]*3%</f>
        <v>390.21249999999998</v>
      </c>
      <c r="Q312" s="2">
        <f>SUM(Employee_Data[[#This Row],[Basic Salary]],Employee_Data[[#This Row],[HRA]],Employee_Data[[#This Row],[MA]],Employee_Data[[#This Row],[TA]])</f>
        <v>15673.535416666668</v>
      </c>
      <c r="R312" s="4">
        <f>Employee_Data[[#This Row],[Basic Salary]]*12.5%</f>
        <v>1625.8854166666667</v>
      </c>
      <c r="S312" s="2">
        <f>Employee_Data[[#This Row],[Annual Salary]]/12</f>
        <v>13007.083333333334</v>
      </c>
    </row>
    <row r="313" spans="1:19" x14ac:dyDescent="0.3">
      <c r="A313" t="s">
        <v>704</v>
      </c>
      <c r="B313" t="s">
        <v>705</v>
      </c>
      <c r="C313" t="s">
        <v>173</v>
      </c>
      <c r="D313" t="s">
        <v>4</v>
      </c>
      <c r="E313" t="s">
        <v>56</v>
      </c>
      <c r="F313" t="s">
        <v>42</v>
      </c>
      <c r="G313" t="s">
        <v>84</v>
      </c>
      <c r="H313">
        <v>54</v>
      </c>
      <c r="I313" s="1">
        <v>41382</v>
      </c>
      <c r="J313" s="2">
        <v>80129</v>
      </c>
      <c r="K313" s="3">
        <v>0</v>
      </c>
      <c r="L313" t="s">
        <v>25</v>
      </c>
      <c r="M313" t="s">
        <v>70</v>
      </c>
      <c r="N313" s="2">
        <f>Employee_Data[[#This Row],[Basic Salary]]*10%</f>
        <v>667.74166666666679</v>
      </c>
      <c r="O313" s="4">
        <f>Employee_Data[[#This Row],[Basic Salary]]*7.5%</f>
        <v>500.80624999999998</v>
      </c>
      <c r="P313" s="2">
        <f>Employee_Data[[#This Row],[Basic Salary]]*3%</f>
        <v>200.32249999999999</v>
      </c>
      <c r="Q313" s="2">
        <f>SUM(Employee_Data[[#This Row],[Basic Salary]],Employee_Data[[#This Row],[HRA]],Employee_Data[[#This Row],[MA]],Employee_Data[[#This Row],[TA]])</f>
        <v>8046.2870833333336</v>
      </c>
      <c r="R313" s="4">
        <f>Employee_Data[[#This Row],[Basic Salary]]*12.5%</f>
        <v>834.67708333333337</v>
      </c>
      <c r="S313" s="2">
        <f>Employee_Data[[#This Row],[Annual Salary]]/12</f>
        <v>6677.416666666667</v>
      </c>
    </row>
    <row r="314" spans="1:19" x14ac:dyDescent="0.3">
      <c r="A314" t="s">
        <v>706</v>
      </c>
      <c r="B314" t="s">
        <v>707</v>
      </c>
      <c r="C314" t="s">
        <v>104</v>
      </c>
      <c r="D314" t="s">
        <v>30</v>
      </c>
      <c r="E314" t="s">
        <v>36</v>
      </c>
      <c r="F314" t="s">
        <v>42</v>
      </c>
      <c r="G314" t="s">
        <v>66</v>
      </c>
      <c r="H314">
        <v>56</v>
      </c>
      <c r="I314" s="1">
        <v>42744</v>
      </c>
      <c r="J314" s="2">
        <v>60517</v>
      </c>
      <c r="K314" s="3">
        <v>0</v>
      </c>
      <c r="L314" t="s">
        <v>25</v>
      </c>
      <c r="M314" t="s">
        <v>26</v>
      </c>
      <c r="N314" s="2">
        <f>Employee_Data[[#This Row],[Basic Salary]]*10%</f>
        <v>504.30833333333334</v>
      </c>
      <c r="O314" s="4">
        <f>Employee_Data[[#This Row],[Basic Salary]]*7.5%</f>
        <v>378.23124999999999</v>
      </c>
      <c r="P314" s="2">
        <f>Employee_Data[[#This Row],[Basic Salary]]*3%</f>
        <v>151.29249999999999</v>
      </c>
      <c r="Q314" s="2">
        <f>SUM(Employee_Data[[#This Row],[Basic Salary]],Employee_Data[[#This Row],[HRA]],Employee_Data[[#This Row],[MA]],Employee_Data[[#This Row],[TA]])</f>
        <v>6076.9154166666658</v>
      </c>
      <c r="R314" s="4">
        <f>Employee_Data[[#This Row],[Basic Salary]]*12.5%</f>
        <v>630.38541666666663</v>
      </c>
      <c r="S314" s="2">
        <f>Employee_Data[[#This Row],[Annual Salary]]/12</f>
        <v>5043.083333333333</v>
      </c>
    </row>
    <row r="315" spans="1:19" x14ac:dyDescent="0.3">
      <c r="A315" t="s">
        <v>708</v>
      </c>
      <c r="B315" t="s">
        <v>709</v>
      </c>
      <c r="C315" t="s">
        <v>134</v>
      </c>
      <c r="D315" t="s">
        <v>21</v>
      </c>
      <c r="E315" t="s">
        <v>36</v>
      </c>
      <c r="F315" t="s">
        <v>23</v>
      </c>
      <c r="G315" t="s">
        <v>66</v>
      </c>
      <c r="H315">
        <v>48</v>
      </c>
      <c r="I315" s="1">
        <v>42717</v>
      </c>
      <c r="J315" s="2">
        <v>72315</v>
      </c>
      <c r="K315" s="3">
        <v>0</v>
      </c>
      <c r="L315" t="s">
        <v>25</v>
      </c>
      <c r="M315" t="s">
        <v>48</v>
      </c>
      <c r="N315" s="2">
        <f>Employee_Data[[#This Row],[Basic Salary]]*10%</f>
        <v>602.625</v>
      </c>
      <c r="O315" s="4">
        <f>Employee_Data[[#This Row],[Basic Salary]]*7.5%</f>
        <v>451.96875</v>
      </c>
      <c r="P315" s="2">
        <f>Employee_Data[[#This Row],[Basic Salary]]*3%</f>
        <v>180.78749999999999</v>
      </c>
      <c r="Q315" s="2">
        <f>SUM(Employee_Data[[#This Row],[Basic Salary]],Employee_Data[[#This Row],[HRA]],Employee_Data[[#This Row],[MA]],Employee_Data[[#This Row],[TA]])</f>
        <v>7261.6312500000004</v>
      </c>
      <c r="R315" s="4">
        <f>Employee_Data[[#This Row],[Basic Salary]]*12.5%</f>
        <v>753.28125</v>
      </c>
      <c r="S315" s="2">
        <f>Employee_Data[[#This Row],[Annual Salary]]/12</f>
        <v>6026.25</v>
      </c>
    </row>
    <row r="316" spans="1:19" x14ac:dyDescent="0.3">
      <c r="A316" t="s">
        <v>710</v>
      </c>
      <c r="B316" t="s">
        <v>711</v>
      </c>
      <c r="C316" t="s">
        <v>47</v>
      </c>
      <c r="D316" t="s">
        <v>126</v>
      </c>
      <c r="E316" t="s">
        <v>22</v>
      </c>
      <c r="F316" t="s">
        <v>23</v>
      </c>
      <c r="G316" t="s">
        <v>24</v>
      </c>
      <c r="H316">
        <v>35</v>
      </c>
      <c r="I316" s="1">
        <v>42196</v>
      </c>
      <c r="J316" s="2">
        <v>153815</v>
      </c>
      <c r="K316" s="3">
        <v>0.19</v>
      </c>
      <c r="L316" t="s">
        <v>25</v>
      </c>
      <c r="M316" t="s">
        <v>70</v>
      </c>
      <c r="N316" s="2">
        <f>Employee_Data[[#This Row],[Basic Salary]]*10%</f>
        <v>1281.7916666666667</v>
      </c>
      <c r="O316" s="4">
        <f>Employee_Data[[#This Row],[Basic Salary]]*7.5%</f>
        <v>961.34374999999989</v>
      </c>
      <c r="P316" s="2">
        <f>Employee_Data[[#This Row],[Basic Salary]]*3%</f>
        <v>384.53749999999997</v>
      </c>
      <c r="Q316" s="2">
        <f>SUM(Employee_Data[[#This Row],[Basic Salary]],Employee_Data[[#This Row],[HRA]],Employee_Data[[#This Row],[MA]],Employee_Data[[#This Row],[TA]])</f>
        <v>15445.589583333332</v>
      </c>
      <c r="R316" s="4">
        <f>Employee_Data[[#This Row],[Basic Salary]]*12.5%</f>
        <v>1602.2395833333333</v>
      </c>
      <c r="S316" s="2">
        <f>Employee_Data[[#This Row],[Annual Salary]]/12</f>
        <v>12817.916666666666</v>
      </c>
    </row>
    <row r="317" spans="1:19" x14ac:dyDescent="0.3">
      <c r="A317" t="s">
        <v>712</v>
      </c>
      <c r="B317" t="s">
        <v>713</v>
      </c>
      <c r="C317" t="s">
        <v>83</v>
      </c>
      <c r="D317" t="s">
        <v>80</v>
      </c>
      <c r="E317" t="s">
        <v>56</v>
      </c>
      <c r="F317" t="s">
        <v>42</v>
      </c>
      <c r="G317" t="s">
        <v>84</v>
      </c>
      <c r="H317">
        <v>32</v>
      </c>
      <c r="I317" s="1">
        <v>43328</v>
      </c>
      <c r="J317" s="2">
        <v>139552</v>
      </c>
      <c r="K317" s="3">
        <v>0.15</v>
      </c>
      <c r="L317" t="s">
        <v>25</v>
      </c>
      <c r="M317" t="s">
        <v>70</v>
      </c>
      <c r="N317" s="2">
        <f>Employee_Data[[#This Row],[Basic Salary]]*10%</f>
        <v>1162.9333333333334</v>
      </c>
      <c r="O317" s="4">
        <f>Employee_Data[[#This Row],[Basic Salary]]*7.5%</f>
        <v>872.2</v>
      </c>
      <c r="P317" s="2">
        <f>Employee_Data[[#This Row],[Basic Salary]]*3%</f>
        <v>348.88</v>
      </c>
      <c r="Q317" s="2">
        <f>SUM(Employee_Data[[#This Row],[Basic Salary]],Employee_Data[[#This Row],[HRA]],Employee_Data[[#This Row],[MA]],Employee_Data[[#This Row],[TA]])</f>
        <v>14013.346666666666</v>
      </c>
      <c r="R317" s="4">
        <f>Employee_Data[[#This Row],[Basic Salary]]*12.5%</f>
        <v>1453.6666666666667</v>
      </c>
      <c r="S317" s="2">
        <f>Employee_Data[[#This Row],[Annual Salary]]/12</f>
        <v>11629.333333333334</v>
      </c>
    </row>
    <row r="318" spans="1:19" x14ac:dyDescent="0.3">
      <c r="A318" t="s">
        <v>714</v>
      </c>
      <c r="B318" t="s">
        <v>715</v>
      </c>
      <c r="C318" t="s">
        <v>89</v>
      </c>
      <c r="D318" t="s">
        <v>80</v>
      </c>
      <c r="E318" t="s">
        <v>31</v>
      </c>
      <c r="F318" t="s">
        <v>23</v>
      </c>
      <c r="G318" t="s">
        <v>24</v>
      </c>
      <c r="H318">
        <v>25</v>
      </c>
      <c r="I318" s="1">
        <v>44854</v>
      </c>
      <c r="J318" s="2">
        <v>257296</v>
      </c>
      <c r="K318" s="3">
        <v>0.35</v>
      </c>
      <c r="L318" t="s">
        <v>25</v>
      </c>
      <c r="M318" t="s">
        <v>48</v>
      </c>
      <c r="N318" s="2">
        <f>Employee_Data[[#This Row],[Basic Salary]]*10%</f>
        <v>2144.1333333333332</v>
      </c>
      <c r="O318" s="4">
        <f>Employee_Data[[#This Row],[Basic Salary]]*7.5%</f>
        <v>1608.1</v>
      </c>
      <c r="P318" s="2">
        <f>Employee_Data[[#This Row],[Basic Salary]]*3%</f>
        <v>643.2399999999999</v>
      </c>
      <c r="Q318" s="2">
        <f>SUM(Employee_Data[[#This Row],[Basic Salary]],Employee_Data[[#This Row],[HRA]],Employee_Data[[#This Row],[MA]],Employee_Data[[#This Row],[TA]])</f>
        <v>25836.806666666667</v>
      </c>
      <c r="R318" s="4">
        <f>Employee_Data[[#This Row],[Basic Salary]]*12.5%</f>
        <v>2680.1666666666665</v>
      </c>
      <c r="S318" s="2">
        <f>Employee_Data[[#This Row],[Annual Salary]]/12</f>
        <v>21441.333333333332</v>
      </c>
    </row>
    <row r="319" spans="1:19" x14ac:dyDescent="0.3">
      <c r="A319" t="s">
        <v>716</v>
      </c>
      <c r="B319" t="s">
        <v>717</v>
      </c>
      <c r="C319" t="s">
        <v>54</v>
      </c>
      <c r="D319" t="s">
        <v>61</v>
      </c>
      <c r="E319" t="s">
        <v>22</v>
      </c>
      <c r="F319" t="s">
        <v>23</v>
      </c>
      <c r="G319" t="s">
        <v>24</v>
      </c>
      <c r="H319">
        <v>26</v>
      </c>
      <c r="I319" s="1">
        <v>43955</v>
      </c>
      <c r="J319" s="2">
        <v>91372</v>
      </c>
      <c r="K319" s="3">
        <v>0</v>
      </c>
      <c r="L319" t="s">
        <v>25</v>
      </c>
      <c r="M319" t="s">
        <v>70</v>
      </c>
      <c r="N319" s="2">
        <f>Employee_Data[[#This Row],[Basic Salary]]*10%</f>
        <v>761.43333333333339</v>
      </c>
      <c r="O319" s="4">
        <f>Employee_Data[[#This Row],[Basic Salary]]*7.5%</f>
        <v>571.07499999999993</v>
      </c>
      <c r="P319" s="2">
        <f>Employee_Data[[#This Row],[Basic Salary]]*3%</f>
        <v>228.42999999999998</v>
      </c>
      <c r="Q319" s="2">
        <f>SUM(Employee_Data[[#This Row],[Basic Salary]],Employee_Data[[#This Row],[HRA]],Employee_Data[[#This Row],[MA]],Employee_Data[[#This Row],[TA]])</f>
        <v>9175.2716666666674</v>
      </c>
      <c r="R319" s="4">
        <f>Employee_Data[[#This Row],[Basic Salary]]*12.5%</f>
        <v>951.79166666666663</v>
      </c>
      <c r="S319" s="2">
        <f>Employee_Data[[#This Row],[Annual Salary]]/12</f>
        <v>7614.333333333333</v>
      </c>
    </row>
    <row r="320" spans="1:19" x14ac:dyDescent="0.3">
      <c r="A320" t="s">
        <v>718</v>
      </c>
      <c r="B320" t="s">
        <v>719</v>
      </c>
      <c r="C320" t="s">
        <v>232</v>
      </c>
      <c r="D320" t="s">
        <v>126</v>
      </c>
      <c r="E320" t="s">
        <v>31</v>
      </c>
      <c r="F320" t="s">
        <v>23</v>
      </c>
      <c r="G320" t="s">
        <v>24</v>
      </c>
      <c r="H320">
        <v>53</v>
      </c>
      <c r="I320" s="1">
        <v>42891</v>
      </c>
      <c r="J320" s="2">
        <v>73601</v>
      </c>
      <c r="K320" s="3">
        <v>0</v>
      </c>
      <c r="L320" t="s">
        <v>37</v>
      </c>
      <c r="M320" t="s">
        <v>62</v>
      </c>
      <c r="N320" s="2">
        <f>Employee_Data[[#This Row],[Basic Salary]]*10%</f>
        <v>613.3416666666667</v>
      </c>
      <c r="O320" s="4">
        <f>Employee_Data[[#This Row],[Basic Salary]]*7.5%</f>
        <v>460.00625000000002</v>
      </c>
      <c r="P320" s="2">
        <f>Employee_Data[[#This Row],[Basic Salary]]*3%</f>
        <v>184.0025</v>
      </c>
      <c r="Q320" s="2">
        <f>SUM(Employee_Data[[#This Row],[Basic Salary]],Employee_Data[[#This Row],[HRA]],Employee_Data[[#This Row],[MA]],Employee_Data[[#This Row],[TA]])</f>
        <v>7390.7670833333332</v>
      </c>
      <c r="R320" s="4">
        <f>Employee_Data[[#This Row],[Basic Salary]]*12.5%</f>
        <v>766.67708333333337</v>
      </c>
      <c r="S320" s="2">
        <f>Employee_Data[[#This Row],[Annual Salary]]/12</f>
        <v>6133.416666666667</v>
      </c>
    </row>
    <row r="321" spans="1:19" x14ac:dyDescent="0.3">
      <c r="A321" t="s">
        <v>720</v>
      </c>
      <c r="B321" t="s">
        <v>721</v>
      </c>
      <c r="C321" t="s">
        <v>41</v>
      </c>
      <c r="D321" t="s">
        <v>4</v>
      </c>
      <c r="E321" t="s">
        <v>31</v>
      </c>
      <c r="F321" t="s">
        <v>42</v>
      </c>
      <c r="G321" t="s">
        <v>24</v>
      </c>
      <c r="H321">
        <v>37</v>
      </c>
      <c r="I321" s="1">
        <v>41393</v>
      </c>
      <c r="J321" s="2">
        <v>71871</v>
      </c>
      <c r="K321" s="3">
        <v>0</v>
      </c>
      <c r="L321" t="s">
        <v>37</v>
      </c>
      <c r="M321" t="s">
        <v>62</v>
      </c>
      <c r="N321" s="2">
        <f>Employee_Data[[#This Row],[Basic Salary]]*10%</f>
        <v>598.92500000000007</v>
      </c>
      <c r="O321" s="4">
        <f>Employee_Data[[#This Row],[Basic Salary]]*7.5%</f>
        <v>449.19374999999997</v>
      </c>
      <c r="P321" s="2">
        <f>Employee_Data[[#This Row],[Basic Salary]]*3%</f>
        <v>179.67749999999998</v>
      </c>
      <c r="Q321" s="2">
        <f>SUM(Employee_Data[[#This Row],[Basic Salary]],Employee_Data[[#This Row],[HRA]],Employee_Data[[#This Row],[MA]],Employee_Data[[#This Row],[TA]])</f>
        <v>7217.0462500000003</v>
      </c>
      <c r="R321" s="4">
        <f>Employee_Data[[#This Row],[Basic Salary]]*12.5%</f>
        <v>748.65625</v>
      </c>
      <c r="S321" s="2">
        <f>Employee_Data[[#This Row],[Annual Salary]]/12</f>
        <v>5989.25</v>
      </c>
    </row>
    <row r="322" spans="1:19" x14ac:dyDescent="0.3">
      <c r="A322" t="s">
        <v>722</v>
      </c>
      <c r="B322" t="s">
        <v>723</v>
      </c>
      <c r="C322" t="s">
        <v>405</v>
      </c>
      <c r="D322" t="s">
        <v>30</v>
      </c>
      <c r="E322" t="s">
        <v>56</v>
      </c>
      <c r="F322" t="s">
        <v>42</v>
      </c>
      <c r="G322" t="s">
        <v>66</v>
      </c>
      <c r="H322">
        <v>31</v>
      </c>
      <c r="I322" s="1">
        <v>42407</v>
      </c>
      <c r="J322" s="2">
        <v>84925</v>
      </c>
      <c r="K322" s="3">
        <v>0</v>
      </c>
      <c r="L322" t="s">
        <v>25</v>
      </c>
      <c r="M322" t="s">
        <v>48</v>
      </c>
      <c r="N322" s="2">
        <f>Employee_Data[[#This Row],[Basic Salary]]*10%</f>
        <v>707.70833333333337</v>
      </c>
      <c r="O322" s="4">
        <f>Employee_Data[[#This Row],[Basic Salary]]*7.5%</f>
        <v>530.78125</v>
      </c>
      <c r="P322" s="2">
        <f>Employee_Data[[#This Row],[Basic Salary]]*3%</f>
        <v>212.31249999999997</v>
      </c>
      <c r="Q322" s="2">
        <f>SUM(Employee_Data[[#This Row],[Basic Salary]],Employee_Data[[#This Row],[HRA]],Employee_Data[[#This Row],[MA]],Employee_Data[[#This Row],[TA]])</f>
        <v>8527.8854166666661</v>
      </c>
      <c r="R322" s="4">
        <f>Employee_Data[[#This Row],[Basic Salary]]*12.5%</f>
        <v>884.63541666666663</v>
      </c>
      <c r="S322" s="2">
        <f>Employee_Data[[#This Row],[Annual Salary]]/12</f>
        <v>7077.083333333333</v>
      </c>
    </row>
    <row r="323" spans="1:19" x14ac:dyDescent="0.3">
      <c r="A323" t="s">
        <v>724</v>
      </c>
      <c r="B323" t="s">
        <v>725</v>
      </c>
      <c r="C323" t="s">
        <v>83</v>
      </c>
      <c r="D323" t="s">
        <v>4</v>
      </c>
      <c r="E323" t="s">
        <v>22</v>
      </c>
      <c r="F323" t="s">
        <v>42</v>
      </c>
      <c r="G323" t="s">
        <v>24</v>
      </c>
      <c r="H323">
        <v>47</v>
      </c>
      <c r="I323" s="1">
        <v>40185</v>
      </c>
      <c r="J323" s="2">
        <v>155600</v>
      </c>
      <c r="K323" s="3">
        <v>0.14000000000000001</v>
      </c>
      <c r="L323" t="s">
        <v>37</v>
      </c>
      <c r="M323" t="s">
        <v>57</v>
      </c>
      <c r="N323" s="2">
        <f>Employee_Data[[#This Row],[Basic Salary]]*10%</f>
        <v>1296.6666666666667</v>
      </c>
      <c r="O323" s="4">
        <f>Employee_Data[[#This Row],[Basic Salary]]*7.5%</f>
        <v>972.49999999999989</v>
      </c>
      <c r="P323" s="2">
        <f>Employee_Data[[#This Row],[Basic Salary]]*3%</f>
        <v>388.99999999999994</v>
      </c>
      <c r="Q323" s="2">
        <f>SUM(Employee_Data[[#This Row],[Basic Salary]],Employee_Data[[#This Row],[HRA]],Employee_Data[[#This Row],[MA]],Employee_Data[[#This Row],[TA]])</f>
        <v>15624.833333333332</v>
      </c>
      <c r="R323" s="4">
        <f>Employee_Data[[#This Row],[Basic Salary]]*12.5%</f>
        <v>1620.8333333333333</v>
      </c>
      <c r="S323" s="2">
        <f>Employee_Data[[#This Row],[Annual Salary]]/12</f>
        <v>12966.666666666666</v>
      </c>
    </row>
    <row r="324" spans="1:19" x14ac:dyDescent="0.3">
      <c r="A324" t="s">
        <v>726</v>
      </c>
      <c r="B324" t="s">
        <v>727</v>
      </c>
      <c r="C324" t="s">
        <v>69</v>
      </c>
      <c r="D324" t="s">
        <v>30</v>
      </c>
      <c r="E324" t="s">
        <v>36</v>
      </c>
      <c r="F324" t="s">
        <v>23</v>
      </c>
      <c r="G324" t="s">
        <v>84</v>
      </c>
      <c r="H324">
        <v>32</v>
      </c>
      <c r="I324" s="1">
        <v>43449</v>
      </c>
      <c r="J324" s="2">
        <v>101564</v>
      </c>
      <c r="K324" s="3">
        <v>0.06</v>
      </c>
      <c r="L324" t="s">
        <v>25</v>
      </c>
      <c r="M324" t="s">
        <v>48</v>
      </c>
      <c r="N324" s="2">
        <f>Employee_Data[[#This Row],[Basic Salary]]*10%</f>
        <v>846.36666666666667</v>
      </c>
      <c r="O324" s="4">
        <f>Employee_Data[[#This Row],[Basic Salary]]*7.5%</f>
        <v>634.77499999999998</v>
      </c>
      <c r="P324" s="2">
        <f>Employee_Data[[#This Row],[Basic Salary]]*3%</f>
        <v>253.90999999999997</v>
      </c>
      <c r="Q324" s="2">
        <f>SUM(Employee_Data[[#This Row],[Basic Salary]],Employee_Data[[#This Row],[HRA]],Employee_Data[[#This Row],[MA]],Employee_Data[[#This Row],[TA]])</f>
        <v>10198.718333333332</v>
      </c>
      <c r="R324" s="4">
        <f>Employee_Data[[#This Row],[Basic Salary]]*12.5%</f>
        <v>1057.9583333333333</v>
      </c>
      <c r="S324" s="2">
        <f>Employee_Data[[#This Row],[Annual Salary]]/12</f>
        <v>8463.6666666666661</v>
      </c>
    </row>
    <row r="325" spans="1:19" x14ac:dyDescent="0.3">
      <c r="A325" t="s">
        <v>728</v>
      </c>
      <c r="B325" t="s">
        <v>729</v>
      </c>
      <c r="C325" t="s">
        <v>20</v>
      </c>
      <c r="D325" t="s">
        <v>21</v>
      </c>
      <c r="E325" t="s">
        <v>36</v>
      </c>
      <c r="F325" t="s">
        <v>23</v>
      </c>
      <c r="G325" t="s">
        <v>24</v>
      </c>
      <c r="H325">
        <v>40</v>
      </c>
      <c r="I325" s="1">
        <v>40098</v>
      </c>
      <c r="J325" s="2">
        <v>80150</v>
      </c>
      <c r="K325" s="3">
        <v>0</v>
      </c>
      <c r="L325" t="s">
        <v>25</v>
      </c>
      <c r="M325" t="s">
        <v>51</v>
      </c>
      <c r="N325" s="2">
        <f>Employee_Data[[#This Row],[Basic Salary]]*10%</f>
        <v>667.91666666666674</v>
      </c>
      <c r="O325" s="4">
        <f>Employee_Data[[#This Row],[Basic Salary]]*7.5%</f>
        <v>500.9375</v>
      </c>
      <c r="P325" s="2">
        <f>Employee_Data[[#This Row],[Basic Salary]]*3%</f>
        <v>200.375</v>
      </c>
      <c r="Q325" s="2">
        <f>SUM(Employee_Data[[#This Row],[Basic Salary]],Employee_Data[[#This Row],[HRA]],Employee_Data[[#This Row],[MA]],Employee_Data[[#This Row],[TA]])</f>
        <v>8048.3958333333339</v>
      </c>
      <c r="R325" s="4">
        <f>Employee_Data[[#This Row],[Basic Salary]]*12.5%</f>
        <v>834.89583333333337</v>
      </c>
      <c r="S325" s="2">
        <f>Employee_Data[[#This Row],[Annual Salary]]/12</f>
        <v>6679.166666666667</v>
      </c>
    </row>
    <row r="326" spans="1:19" x14ac:dyDescent="0.3">
      <c r="A326" t="s">
        <v>730</v>
      </c>
      <c r="B326" t="s">
        <v>731</v>
      </c>
      <c r="C326" t="s">
        <v>247</v>
      </c>
      <c r="D326" t="s">
        <v>126</v>
      </c>
      <c r="E326" t="s">
        <v>31</v>
      </c>
      <c r="F326" t="s">
        <v>23</v>
      </c>
      <c r="G326" t="s">
        <v>24</v>
      </c>
      <c r="H326">
        <v>65</v>
      </c>
      <c r="I326" s="1">
        <v>44478</v>
      </c>
      <c r="J326" s="2">
        <v>73996</v>
      </c>
      <c r="K326" s="3">
        <v>0</v>
      </c>
      <c r="L326" t="s">
        <v>37</v>
      </c>
      <c r="M326" t="s">
        <v>62</v>
      </c>
      <c r="N326" s="2">
        <f>Employee_Data[[#This Row],[Basic Salary]]*10%</f>
        <v>616.63333333333333</v>
      </c>
      <c r="O326" s="4">
        <f>Employee_Data[[#This Row],[Basic Salary]]*7.5%</f>
        <v>462.47499999999997</v>
      </c>
      <c r="P326" s="2">
        <f>Employee_Data[[#This Row],[Basic Salary]]*3%</f>
        <v>184.98999999999998</v>
      </c>
      <c r="Q326" s="2">
        <f>SUM(Employee_Data[[#This Row],[Basic Salary]],Employee_Data[[#This Row],[HRA]],Employee_Data[[#This Row],[MA]],Employee_Data[[#This Row],[TA]])</f>
        <v>7430.4316666666664</v>
      </c>
      <c r="R326" s="4">
        <f>Employee_Data[[#This Row],[Basic Salary]]*12.5%</f>
        <v>770.79166666666663</v>
      </c>
      <c r="S326" s="2">
        <f>Employee_Data[[#This Row],[Annual Salary]]/12</f>
        <v>6166.333333333333</v>
      </c>
    </row>
    <row r="327" spans="1:19" x14ac:dyDescent="0.3">
      <c r="A327" t="s">
        <v>732</v>
      </c>
      <c r="B327" t="s">
        <v>733</v>
      </c>
      <c r="C327" t="s">
        <v>380</v>
      </c>
      <c r="D327" t="s">
        <v>4</v>
      </c>
      <c r="E327" t="s">
        <v>22</v>
      </c>
      <c r="F327" t="s">
        <v>42</v>
      </c>
      <c r="G327" t="s">
        <v>43</v>
      </c>
      <c r="H327">
        <v>25</v>
      </c>
      <c r="I327" s="1">
        <v>44579</v>
      </c>
      <c r="J327" s="2">
        <v>90109</v>
      </c>
      <c r="K327" s="3">
        <v>0</v>
      </c>
      <c r="L327" t="s">
        <v>25</v>
      </c>
      <c r="M327" t="s">
        <v>44</v>
      </c>
      <c r="N327" s="2">
        <f>Employee_Data[[#This Row],[Basic Salary]]*10%</f>
        <v>750.9083333333333</v>
      </c>
      <c r="O327" s="4">
        <f>Employee_Data[[#This Row],[Basic Salary]]*7.5%</f>
        <v>563.18124999999998</v>
      </c>
      <c r="P327" s="2">
        <f>Employee_Data[[#This Row],[Basic Salary]]*3%</f>
        <v>225.27249999999998</v>
      </c>
      <c r="Q327" s="2">
        <f>SUM(Employee_Data[[#This Row],[Basic Salary]],Employee_Data[[#This Row],[HRA]],Employee_Data[[#This Row],[MA]],Employee_Data[[#This Row],[TA]])</f>
        <v>9048.4454166666656</v>
      </c>
      <c r="R327" s="4">
        <f>Employee_Data[[#This Row],[Basic Salary]]*12.5%</f>
        <v>938.63541666666663</v>
      </c>
      <c r="S327" s="2">
        <f>Employee_Data[[#This Row],[Annual Salary]]/12</f>
        <v>7509.083333333333</v>
      </c>
    </row>
    <row r="328" spans="1:19" x14ac:dyDescent="0.3">
      <c r="A328" t="s">
        <v>734</v>
      </c>
      <c r="B328" t="s">
        <v>735</v>
      </c>
      <c r="C328" t="s">
        <v>292</v>
      </c>
      <c r="D328" t="s">
        <v>21</v>
      </c>
      <c r="E328" t="s">
        <v>31</v>
      </c>
      <c r="F328" t="s">
        <v>23</v>
      </c>
      <c r="G328" t="s">
        <v>66</v>
      </c>
      <c r="H328">
        <v>39</v>
      </c>
      <c r="I328" s="1">
        <v>44739</v>
      </c>
      <c r="J328" s="2">
        <v>67216</v>
      </c>
      <c r="K328" s="3">
        <v>0</v>
      </c>
      <c r="L328" t="s">
        <v>25</v>
      </c>
      <c r="M328" t="s">
        <v>51</v>
      </c>
      <c r="N328" s="2">
        <f>Employee_Data[[#This Row],[Basic Salary]]*10%</f>
        <v>560.13333333333333</v>
      </c>
      <c r="O328" s="4">
        <f>Employee_Data[[#This Row],[Basic Salary]]*7.5%</f>
        <v>420.09999999999997</v>
      </c>
      <c r="P328" s="2">
        <f>Employee_Data[[#This Row],[Basic Salary]]*3%</f>
        <v>168.04</v>
      </c>
      <c r="Q328" s="2">
        <f>SUM(Employee_Data[[#This Row],[Basic Salary]],Employee_Data[[#This Row],[HRA]],Employee_Data[[#This Row],[MA]],Employee_Data[[#This Row],[TA]])</f>
        <v>6749.6066666666666</v>
      </c>
      <c r="R328" s="4">
        <f>Employee_Data[[#This Row],[Basic Salary]]*12.5%</f>
        <v>700.16666666666663</v>
      </c>
      <c r="S328" s="2">
        <f>Employee_Data[[#This Row],[Annual Salary]]/12</f>
        <v>5601.333333333333</v>
      </c>
    </row>
    <row r="329" spans="1:19" x14ac:dyDescent="0.3">
      <c r="A329" t="s">
        <v>736</v>
      </c>
      <c r="B329" t="s">
        <v>737</v>
      </c>
      <c r="C329" t="s">
        <v>355</v>
      </c>
      <c r="D329" t="s">
        <v>4</v>
      </c>
      <c r="E329" t="s">
        <v>36</v>
      </c>
      <c r="F329" t="s">
        <v>42</v>
      </c>
      <c r="G329" t="s">
        <v>66</v>
      </c>
      <c r="H329">
        <v>52</v>
      </c>
      <c r="I329" s="1">
        <v>35953</v>
      </c>
      <c r="J329" s="2">
        <v>75402</v>
      </c>
      <c r="K329" s="3">
        <v>0</v>
      </c>
      <c r="L329" t="s">
        <v>25</v>
      </c>
      <c r="M329" t="s">
        <v>51</v>
      </c>
      <c r="N329" s="2">
        <f>Employee_Data[[#This Row],[Basic Salary]]*10%</f>
        <v>628.35</v>
      </c>
      <c r="O329" s="4">
        <f>Employee_Data[[#This Row],[Basic Salary]]*7.5%</f>
        <v>471.26249999999999</v>
      </c>
      <c r="P329" s="2">
        <f>Employee_Data[[#This Row],[Basic Salary]]*3%</f>
        <v>188.505</v>
      </c>
      <c r="Q329" s="2">
        <f>SUM(Employee_Data[[#This Row],[Basic Salary]],Employee_Data[[#This Row],[HRA]],Employee_Data[[#This Row],[MA]],Employee_Data[[#This Row],[TA]])</f>
        <v>7571.6175000000003</v>
      </c>
      <c r="R329" s="4">
        <f>Employee_Data[[#This Row],[Basic Salary]]*12.5%</f>
        <v>785.4375</v>
      </c>
      <c r="S329" s="2">
        <f>Employee_Data[[#This Row],[Annual Salary]]/12</f>
        <v>6283.5</v>
      </c>
    </row>
    <row r="330" spans="1:19" x14ac:dyDescent="0.3">
      <c r="A330" t="s">
        <v>738</v>
      </c>
      <c r="B330" t="s">
        <v>739</v>
      </c>
      <c r="C330" t="s">
        <v>198</v>
      </c>
      <c r="D330" t="s">
        <v>21</v>
      </c>
      <c r="E330" t="s">
        <v>22</v>
      </c>
      <c r="F330" t="s">
        <v>42</v>
      </c>
      <c r="G330" t="s">
        <v>43</v>
      </c>
      <c r="H330">
        <v>38</v>
      </c>
      <c r="I330" s="1">
        <v>44725</v>
      </c>
      <c r="J330" s="2">
        <v>120795</v>
      </c>
      <c r="K330" s="3">
        <v>0</v>
      </c>
      <c r="L330" t="s">
        <v>137</v>
      </c>
      <c r="M330" t="s">
        <v>183</v>
      </c>
      <c r="N330" s="2">
        <f>Employee_Data[[#This Row],[Basic Salary]]*10%</f>
        <v>1006.625</v>
      </c>
      <c r="O330" s="4">
        <f>Employee_Data[[#This Row],[Basic Salary]]*7.5%</f>
        <v>754.96875</v>
      </c>
      <c r="P330" s="2">
        <f>Employee_Data[[#This Row],[Basic Salary]]*3%</f>
        <v>301.98750000000001</v>
      </c>
      <c r="Q330" s="2">
        <f>SUM(Employee_Data[[#This Row],[Basic Salary]],Employee_Data[[#This Row],[HRA]],Employee_Data[[#This Row],[MA]],Employee_Data[[#This Row],[TA]])</f>
        <v>12129.831249999999</v>
      </c>
      <c r="R330" s="4">
        <f>Employee_Data[[#This Row],[Basic Salary]]*12.5%</f>
        <v>1258.28125</v>
      </c>
      <c r="S330" s="2">
        <f>Employee_Data[[#This Row],[Annual Salary]]/12</f>
        <v>10066.25</v>
      </c>
    </row>
    <row r="331" spans="1:19" x14ac:dyDescent="0.3">
      <c r="A331" t="s">
        <v>740</v>
      </c>
      <c r="B331" t="s">
        <v>741</v>
      </c>
      <c r="C331" t="s">
        <v>73</v>
      </c>
      <c r="D331" t="s">
        <v>4</v>
      </c>
      <c r="E331" t="s">
        <v>56</v>
      </c>
      <c r="F331" t="s">
        <v>23</v>
      </c>
      <c r="G331" t="s">
        <v>43</v>
      </c>
      <c r="H331">
        <v>33</v>
      </c>
      <c r="I331" s="1">
        <v>42212</v>
      </c>
      <c r="J331" s="2">
        <v>44012</v>
      </c>
      <c r="K331" s="3">
        <v>0</v>
      </c>
      <c r="L331" t="s">
        <v>137</v>
      </c>
      <c r="M331" t="s">
        <v>289</v>
      </c>
      <c r="N331" s="2">
        <f>Employee_Data[[#This Row],[Basic Salary]]*10%</f>
        <v>366.76666666666665</v>
      </c>
      <c r="O331" s="4">
        <f>Employee_Data[[#This Row],[Basic Salary]]*7.5%</f>
        <v>275.07499999999999</v>
      </c>
      <c r="P331" s="2">
        <f>Employee_Data[[#This Row],[Basic Salary]]*3%</f>
        <v>110.02999999999999</v>
      </c>
      <c r="Q331" s="2">
        <f>SUM(Employee_Data[[#This Row],[Basic Salary]],Employee_Data[[#This Row],[HRA]],Employee_Data[[#This Row],[MA]],Employee_Data[[#This Row],[TA]])</f>
        <v>4419.538333333333</v>
      </c>
      <c r="R331" s="4">
        <f>Employee_Data[[#This Row],[Basic Salary]]*12.5%</f>
        <v>458.45833333333331</v>
      </c>
      <c r="S331" s="2">
        <f>Employee_Data[[#This Row],[Annual Salary]]/12</f>
        <v>3667.6666666666665</v>
      </c>
    </row>
    <row r="332" spans="1:19" x14ac:dyDescent="0.3">
      <c r="A332" t="s">
        <v>742</v>
      </c>
      <c r="B332" t="s">
        <v>743</v>
      </c>
      <c r="C332" t="s">
        <v>89</v>
      </c>
      <c r="D332" t="s">
        <v>61</v>
      </c>
      <c r="E332" t="s">
        <v>36</v>
      </c>
      <c r="F332" t="s">
        <v>42</v>
      </c>
      <c r="G332" t="s">
        <v>24</v>
      </c>
      <c r="H332">
        <v>28</v>
      </c>
      <c r="I332" s="1">
        <v>44289</v>
      </c>
      <c r="J332" s="2">
        <v>219180</v>
      </c>
      <c r="K332" s="3">
        <v>0.33</v>
      </c>
      <c r="L332" t="s">
        <v>37</v>
      </c>
      <c r="M332" t="s">
        <v>57</v>
      </c>
      <c r="N332" s="2">
        <f>Employee_Data[[#This Row],[Basic Salary]]*10%</f>
        <v>1826.5</v>
      </c>
      <c r="O332" s="4">
        <f>Employee_Data[[#This Row],[Basic Salary]]*7.5%</f>
        <v>1369.875</v>
      </c>
      <c r="P332" s="2">
        <f>Employee_Data[[#This Row],[Basic Salary]]*3%</f>
        <v>547.94999999999993</v>
      </c>
      <c r="Q332" s="2">
        <f>SUM(Employee_Data[[#This Row],[Basic Salary]],Employee_Data[[#This Row],[HRA]],Employee_Data[[#This Row],[MA]],Employee_Data[[#This Row],[TA]])</f>
        <v>22009.325000000001</v>
      </c>
      <c r="R332" s="4">
        <f>Employee_Data[[#This Row],[Basic Salary]]*12.5%</f>
        <v>2283.125</v>
      </c>
      <c r="S332" s="2">
        <f>Employee_Data[[#This Row],[Annual Salary]]/12</f>
        <v>18265</v>
      </c>
    </row>
    <row r="333" spans="1:19" x14ac:dyDescent="0.3">
      <c r="A333" t="s">
        <v>744</v>
      </c>
      <c r="B333" t="s">
        <v>745</v>
      </c>
      <c r="C333" t="s">
        <v>89</v>
      </c>
      <c r="D333" t="s">
        <v>21</v>
      </c>
      <c r="E333" t="s">
        <v>36</v>
      </c>
      <c r="F333" t="s">
        <v>23</v>
      </c>
      <c r="G333" t="s">
        <v>24</v>
      </c>
      <c r="H333">
        <v>61</v>
      </c>
      <c r="I333" s="1">
        <v>38652</v>
      </c>
      <c r="J333" s="2">
        <v>258700</v>
      </c>
      <c r="K333" s="3">
        <v>0.32</v>
      </c>
      <c r="L333" t="s">
        <v>25</v>
      </c>
      <c r="M333" t="s">
        <v>48</v>
      </c>
      <c r="N333" s="2">
        <f>Employee_Data[[#This Row],[Basic Salary]]*10%</f>
        <v>2155.8333333333335</v>
      </c>
      <c r="O333" s="4">
        <f>Employee_Data[[#This Row],[Basic Salary]]*7.5%</f>
        <v>1616.8749999999998</v>
      </c>
      <c r="P333" s="2">
        <f>Employee_Data[[#This Row],[Basic Salary]]*3%</f>
        <v>646.74999999999989</v>
      </c>
      <c r="Q333" s="2">
        <f>SUM(Employee_Data[[#This Row],[Basic Salary]],Employee_Data[[#This Row],[HRA]],Employee_Data[[#This Row],[MA]],Employee_Data[[#This Row],[TA]])</f>
        <v>25977.791666666664</v>
      </c>
      <c r="R333" s="4">
        <f>Employee_Data[[#This Row],[Basic Salary]]*12.5%</f>
        <v>2694.7916666666665</v>
      </c>
      <c r="S333" s="2">
        <f>Employee_Data[[#This Row],[Annual Salary]]/12</f>
        <v>21558.333333333332</v>
      </c>
    </row>
    <row r="334" spans="1:19" x14ac:dyDescent="0.3">
      <c r="A334" t="s">
        <v>746</v>
      </c>
      <c r="B334" t="s">
        <v>747</v>
      </c>
      <c r="C334" t="s">
        <v>134</v>
      </c>
      <c r="D334" t="s">
        <v>21</v>
      </c>
      <c r="E334" t="s">
        <v>56</v>
      </c>
      <c r="F334" t="s">
        <v>23</v>
      </c>
      <c r="G334" t="s">
        <v>24</v>
      </c>
      <c r="H334">
        <v>32</v>
      </c>
      <c r="I334" s="1">
        <v>43107</v>
      </c>
      <c r="J334" s="2">
        <v>97496</v>
      </c>
      <c r="K334" s="3">
        <v>0</v>
      </c>
      <c r="L334" t="s">
        <v>25</v>
      </c>
      <c r="M334" t="s">
        <v>70</v>
      </c>
      <c r="N334" s="2">
        <f>Employee_Data[[#This Row],[Basic Salary]]*10%</f>
        <v>812.4666666666667</v>
      </c>
      <c r="O334" s="4">
        <f>Employee_Data[[#This Row],[Basic Salary]]*7.5%</f>
        <v>609.35</v>
      </c>
      <c r="P334" s="2">
        <f>Employee_Data[[#This Row],[Basic Salary]]*3%</f>
        <v>243.74</v>
      </c>
      <c r="Q334" s="2">
        <f>SUM(Employee_Data[[#This Row],[Basic Salary]],Employee_Data[[#This Row],[HRA]],Employee_Data[[#This Row],[MA]],Employee_Data[[#This Row],[TA]])</f>
        <v>9790.2233333333334</v>
      </c>
      <c r="R334" s="4">
        <f>Employee_Data[[#This Row],[Basic Salary]]*12.5%</f>
        <v>1015.5833333333334</v>
      </c>
      <c r="S334" s="2">
        <f>Employee_Data[[#This Row],[Annual Salary]]/12</f>
        <v>8124.666666666667</v>
      </c>
    </row>
    <row r="335" spans="1:19" x14ac:dyDescent="0.3">
      <c r="A335" t="s">
        <v>748</v>
      </c>
      <c r="B335" t="s">
        <v>749</v>
      </c>
      <c r="C335" t="s">
        <v>89</v>
      </c>
      <c r="D335" t="s">
        <v>126</v>
      </c>
      <c r="E335" t="s">
        <v>36</v>
      </c>
      <c r="F335" t="s">
        <v>23</v>
      </c>
      <c r="G335" t="s">
        <v>43</v>
      </c>
      <c r="H335">
        <v>28</v>
      </c>
      <c r="I335" s="1">
        <v>44044</v>
      </c>
      <c r="J335" s="2">
        <v>239270</v>
      </c>
      <c r="K335" s="3">
        <v>0.38</v>
      </c>
      <c r="L335" t="s">
        <v>137</v>
      </c>
      <c r="M335" t="s">
        <v>289</v>
      </c>
      <c r="N335" s="2">
        <f>Employee_Data[[#This Row],[Basic Salary]]*10%</f>
        <v>1993.916666666667</v>
      </c>
      <c r="O335" s="4">
        <f>Employee_Data[[#This Row],[Basic Salary]]*7.5%</f>
        <v>1495.4375</v>
      </c>
      <c r="P335" s="2">
        <f>Employee_Data[[#This Row],[Basic Salary]]*3%</f>
        <v>598.17500000000007</v>
      </c>
      <c r="Q335" s="2">
        <f>SUM(Employee_Data[[#This Row],[Basic Salary]],Employee_Data[[#This Row],[HRA]],Employee_Data[[#This Row],[MA]],Employee_Data[[#This Row],[TA]])</f>
        <v>24026.695833333335</v>
      </c>
      <c r="R335" s="4">
        <f>Employee_Data[[#This Row],[Basic Salary]]*12.5%</f>
        <v>2492.3958333333335</v>
      </c>
      <c r="S335" s="2">
        <f>Employee_Data[[#This Row],[Annual Salary]]/12</f>
        <v>19939.166666666668</v>
      </c>
    </row>
    <row r="336" spans="1:19" x14ac:dyDescent="0.3">
      <c r="A336" t="s">
        <v>750</v>
      </c>
      <c r="B336" t="s">
        <v>751</v>
      </c>
      <c r="C336" t="s">
        <v>69</v>
      </c>
      <c r="D336" t="s">
        <v>4</v>
      </c>
      <c r="E336" t="s">
        <v>56</v>
      </c>
      <c r="F336" t="s">
        <v>23</v>
      </c>
      <c r="G336" t="s">
        <v>66</v>
      </c>
      <c r="H336">
        <v>39</v>
      </c>
      <c r="I336" s="1">
        <v>40970</v>
      </c>
      <c r="J336" s="2">
        <v>103466</v>
      </c>
      <c r="K336" s="3">
        <v>0.05</v>
      </c>
      <c r="L336" t="s">
        <v>25</v>
      </c>
      <c r="M336" t="s">
        <v>32</v>
      </c>
      <c r="N336" s="2">
        <f>Employee_Data[[#This Row],[Basic Salary]]*10%</f>
        <v>862.2166666666667</v>
      </c>
      <c r="O336" s="4">
        <f>Employee_Data[[#This Row],[Basic Salary]]*7.5%</f>
        <v>646.66249999999991</v>
      </c>
      <c r="P336" s="2">
        <f>Employee_Data[[#This Row],[Basic Salary]]*3%</f>
        <v>258.66499999999996</v>
      </c>
      <c r="Q336" s="2">
        <f>SUM(Employee_Data[[#This Row],[Basic Salary]],Employee_Data[[#This Row],[HRA]],Employee_Data[[#This Row],[MA]],Employee_Data[[#This Row],[TA]])</f>
        <v>10389.710833333334</v>
      </c>
      <c r="R336" s="4">
        <f>Employee_Data[[#This Row],[Basic Salary]]*12.5%</f>
        <v>1077.7708333333333</v>
      </c>
      <c r="S336" s="2">
        <f>Employee_Data[[#This Row],[Annual Salary]]/12</f>
        <v>8622.1666666666661</v>
      </c>
    </row>
    <row r="337" spans="1:19" x14ac:dyDescent="0.3">
      <c r="A337" t="s">
        <v>752</v>
      </c>
      <c r="B337" t="s">
        <v>753</v>
      </c>
      <c r="C337" t="s">
        <v>54</v>
      </c>
      <c r="D337" t="s">
        <v>55</v>
      </c>
      <c r="E337" t="s">
        <v>31</v>
      </c>
      <c r="F337" t="s">
        <v>23</v>
      </c>
      <c r="G337" t="s">
        <v>43</v>
      </c>
      <c r="H337">
        <v>57</v>
      </c>
      <c r="I337" s="1">
        <v>37069</v>
      </c>
      <c r="J337" s="2">
        <v>74662</v>
      </c>
      <c r="K337" s="3">
        <v>0</v>
      </c>
      <c r="L337" t="s">
        <v>137</v>
      </c>
      <c r="M337" t="s">
        <v>183</v>
      </c>
      <c r="N337" s="2">
        <f>Employee_Data[[#This Row],[Basic Salary]]*10%</f>
        <v>622.18333333333339</v>
      </c>
      <c r="O337" s="4">
        <f>Employee_Data[[#This Row],[Basic Salary]]*7.5%</f>
        <v>466.63749999999993</v>
      </c>
      <c r="P337" s="2">
        <f>Employee_Data[[#This Row],[Basic Salary]]*3%</f>
        <v>186.65499999999997</v>
      </c>
      <c r="Q337" s="2">
        <f>SUM(Employee_Data[[#This Row],[Basic Salary]],Employee_Data[[#This Row],[HRA]],Employee_Data[[#This Row],[MA]],Employee_Data[[#This Row],[TA]])</f>
        <v>7497.309166666666</v>
      </c>
      <c r="R337" s="4">
        <f>Employee_Data[[#This Row],[Basic Salary]]*12.5%</f>
        <v>777.72916666666663</v>
      </c>
      <c r="S337" s="2">
        <f>Employee_Data[[#This Row],[Annual Salary]]/12</f>
        <v>6221.833333333333</v>
      </c>
    </row>
    <row r="338" spans="1:19" x14ac:dyDescent="0.3">
      <c r="A338" t="s">
        <v>754</v>
      </c>
      <c r="B338" t="s">
        <v>755</v>
      </c>
      <c r="C338" t="s">
        <v>89</v>
      </c>
      <c r="D338" t="s">
        <v>126</v>
      </c>
      <c r="E338" t="s">
        <v>36</v>
      </c>
      <c r="F338" t="s">
        <v>23</v>
      </c>
      <c r="G338" t="s">
        <v>24</v>
      </c>
      <c r="H338">
        <v>40</v>
      </c>
      <c r="I338" s="1">
        <v>42114</v>
      </c>
      <c r="J338" s="2">
        <v>227816</v>
      </c>
      <c r="K338" s="3">
        <v>0.33</v>
      </c>
      <c r="L338" t="s">
        <v>25</v>
      </c>
      <c r="M338" t="s">
        <v>32</v>
      </c>
      <c r="N338" s="2">
        <f>Employee_Data[[#This Row],[Basic Salary]]*10%</f>
        <v>1898.4666666666669</v>
      </c>
      <c r="O338" s="4">
        <f>Employee_Data[[#This Row],[Basic Salary]]*7.5%</f>
        <v>1423.8500000000001</v>
      </c>
      <c r="P338" s="2">
        <f>Employee_Data[[#This Row],[Basic Salary]]*3%</f>
        <v>569.54</v>
      </c>
      <c r="Q338" s="2">
        <f>SUM(Employee_Data[[#This Row],[Basic Salary]],Employee_Data[[#This Row],[HRA]],Employee_Data[[#This Row],[MA]],Employee_Data[[#This Row],[TA]])</f>
        <v>22876.523333333334</v>
      </c>
      <c r="R338" s="4">
        <f>Employee_Data[[#This Row],[Basic Salary]]*12.5%</f>
        <v>2373.0833333333335</v>
      </c>
      <c r="S338" s="2">
        <f>Employee_Data[[#This Row],[Annual Salary]]/12</f>
        <v>18984.666666666668</v>
      </c>
    </row>
    <row r="339" spans="1:19" x14ac:dyDescent="0.3">
      <c r="A339" t="s">
        <v>756</v>
      </c>
      <c r="B339" t="s">
        <v>757</v>
      </c>
      <c r="C339" t="s">
        <v>89</v>
      </c>
      <c r="D339" t="s">
        <v>30</v>
      </c>
      <c r="E339" t="s">
        <v>22</v>
      </c>
      <c r="F339" t="s">
        <v>23</v>
      </c>
      <c r="G339" t="s">
        <v>24</v>
      </c>
      <c r="H339">
        <v>47</v>
      </c>
      <c r="I339" s="1">
        <v>41616</v>
      </c>
      <c r="J339" s="2">
        <v>246680</v>
      </c>
      <c r="K339" s="3">
        <v>0.39</v>
      </c>
      <c r="L339" t="s">
        <v>37</v>
      </c>
      <c r="M339" t="s">
        <v>111</v>
      </c>
      <c r="N339" s="2">
        <f>Employee_Data[[#This Row],[Basic Salary]]*10%</f>
        <v>2055.666666666667</v>
      </c>
      <c r="O339" s="4">
        <f>Employee_Data[[#This Row],[Basic Salary]]*7.5%</f>
        <v>1541.75</v>
      </c>
      <c r="P339" s="2">
        <f>Employee_Data[[#This Row],[Basic Salary]]*3%</f>
        <v>616.70000000000005</v>
      </c>
      <c r="Q339" s="2">
        <f>SUM(Employee_Data[[#This Row],[Basic Salary]],Employee_Data[[#This Row],[HRA]],Employee_Data[[#This Row],[MA]],Employee_Data[[#This Row],[TA]])</f>
        <v>24770.783333333336</v>
      </c>
      <c r="R339" s="4">
        <f>Employee_Data[[#This Row],[Basic Salary]]*12.5%</f>
        <v>2569.5833333333335</v>
      </c>
      <c r="S339" s="2">
        <f>Employee_Data[[#This Row],[Annual Salary]]/12</f>
        <v>20556.666666666668</v>
      </c>
    </row>
    <row r="340" spans="1:19" x14ac:dyDescent="0.3">
      <c r="A340" t="s">
        <v>758</v>
      </c>
      <c r="B340" t="s">
        <v>759</v>
      </c>
      <c r="C340" t="s">
        <v>173</v>
      </c>
      <c r="D340" t="s">
        <v>4</v>
      </c>
      <c r="E340" t="s">
        <v>22</v>
      </c>
      <c r="F340" t="s">
        <v>42</v>
      </c>
      <c r="G340" t="s">
        <v>43</v>
      </c>
      <c r="H340">
        <v>43</v>
      </c>
      <c r="I340" s="1">
        <v>40355</v>
      </c>
      <c r="J340" s="2">
        <v>85164</v>
      </c>
      <c r="K340" s="3">
        <v>0</v>
      </c>
      <c r="L340" t="s">
        <v>137</v>
      </c>
      <c r="M340" t="s">
        <v>183</v>
      </c>
      <c r="N340" s="2">
        <f>Employee_Data[[#This Row],[Basic Salary]]*10%</f>
        <v>709.7</v>
      </c>
      <c r="O340" s="4">
        <f>Employee_Data[[#This Row],[Basic Salary]]*7.5%</f>
        <v>532.27499999999998</v>
      </c>
      <c r="P340" s="2">
        <f>Employee_Data[[#This Row],[Basic Salary]]*3%</f>
        <v>212.91</v>
      </c>
      <c r="Q340" s="2">
        <f>SUM(Employee_Data[[#This Row],[Basic Salary]],Employee_Data[[#This Row],[HRA]],Employee_Data[[#This Row],[MA]],Employee_Data[[#This Row],[TA]])</f>
        <v>8551.8850000000002</v>
      </c>
      <c r="R340" s="4">
        <f>Employee_Data[[#This Row],[Basic Salary]]*12.5%</f>
        <v>887.125</v>
      </c>
      <c r="S340" s="2">
        <f>Employee_Data[[#This Row],[Annual Salary]]/12</f>
        <v>7097</v>
      </c>
    </row>
    <row r="341" spans="1:19" x14ac:dyDescent="0.3">
      <c r="A341" t="s">
        <v>760</v>
      </c>
      <c r="B341" t="s">
        <v>761</v>
      </c>
      <c r="C341" t="s">
        <v>83</v>
      </c>
      <c r="D341" t="s">
        <v>61</v>
      </c>
      <c r="E341" t="s">
        <v>22</v>
      </c>
      <c r="F341" t="s">
        <v>42</v>
      </c>
      <c r="G341" t="s">
        <v>84</v>
      </c>
      <c r="H341">
        <v>33</v>
      </c>
      <c r="I341" s="1">
        <v>41869</v>
      </c>
      <c r="J341" s="2">
        <v>135215</v>
      </c>
      <c r="K341" s="3">
        <v>0.12</v>
      </c>
      <c r="L341" t="s">
        <v>25</v>
      </c>
      <c r="M341" t="s">
        <v>70</v>
      </c>
      <c r="N341" s="2">
        <f>Employee_Data[[#This Row],[Basic Salary]]*10%</f>
        <v>1126.7916666666667</v>
      </c>
      <c r="O341" s="4">
        <f>Employee_Data[[#This Row],[Basic Salary]]*7.5%</f>
        <v>845.09374999999989</v>
      </c>
      <c r="P341" s="2">
        <f>Employee_Data[[#This Row],[Basic Salary]]*3%</f>
        <v>338.03749999999997</v>
      </c>
      <c r="Q341" s="2">
        <f>SUM(Employee_Data[[#This Row],[Basic Salary]],Employee_Data[[#This Row],[HRA]],Employee_Data[[#This Row],[MA]],Employee_Data[[#This Row],[TA]])</f>
        <v>13577.839583333332</v>
      </c>
      <c r="R341" s="4">
        <f>Employee_Data[[#This Row],[Basic Salary]]*12.5%</f>
        <v>1408.4895833333333</v>
      </c>
      <c r="S341" s="2">
        <f>Employee_Data[[#This Row],[Annual Salary]]/12</f>
        <v>11267.916666666666</v>
      </c>
    </row>
    <row r="342" spans="1:19" x14ac:dyDescent="0.3">
      <c r="A342" t="s">
        <v>762</v>
      </c>
      <c r="B342" t="s">
        <v>763</v>
      </c>
      <c r="C342" t="s">
        <v>247</v>
      </c>
      <c r="D342" t="s">
        <v>126</v>
      </c>
      <c r="E342" t="s">
        <v>31</v>
      </c>
      <c r="F342" t="s">
        <v>23</v>
      </c>
      <c r="G342" t="s">
        <v>43</v>
      </c>
      <c r="H342">
        <v>31</v>
      </c>
      <c r="I342" s="1">
        <v>43479</v>
      </c>
      <c r="J342" s="2">
        <v>72542</v>
      </c>
      <c r="K342" s="3">
        <v>0</v>
      </c>
      <c r="L342" t="s">
        <v>25</v>
      </c>
      <c r="M342" t="s">
        <v>32</v>
      </c>
      <c r="N342" s="2">
        <f>Employee_Data[[#This Row],[Basic Salary]]*10%</f>
        <v>604.51666666666677</v>
      </c>
      <c r="O342" s="4">
        <f>Employee_Data[[#This Row],[Basic Salary]]*7.5%</f>
        <v>453.38749999999999</v>
      </c>
      <c r="P342" s="2">
        <f>Employee_Data[[#This Row],[Basic Salary]]*3%</f>
        <v>181.35499999999999</v>
      </c>
      <c r="Q342" s="2">
        <f>SUM(Employee_Data[[#This Row],[Basic Salary]],Employee_Data[[#This Row],[HRA]],Employee_Data[[#This Row],[MA]],Employee_Data[[#This Row],[TA]])</f>
        <v>7284.4258333333328</v>
      </c>
      <c r="R342" s="4">
        <f>Employee_Data[[#This Row],[Basic Salary]]*12.5%</f>
        <v>755.64583333333337</v>
      </c>
      <c r="S342" s="2">
        <f>Employee_Data[[#This Row],[Annual Salary]]/12</f>
        <v>6045.166666666667</v>
      </c>
    </row>
    <row r="343" spans="1:19" x14ac:dyDescent="0.3">
      <c r="A343" t="s">
        <v>764</v>
      </c>
      <c r="B343" t="s">
        <v>765</v>
      </c>
      <c r="C343" t="s">
        <v>89</v>
      </c>
      <c r="D343" t="s">
        <v>4</v>
      </c>
      <c r="E343" t="s">
        <v>36</v>
      </c>
      <c r="F343" t="s">
        <v>42</v>
      </c>
      <c r="G343" t="s">
        <v>66</v>
      </c>
      <c r="H343">
        <v>47</v>
      </c>
      <c r="I343" s="1">
        <v>43138</v>
      </c>
      <c r="J343" s="2">
        <v>246303</v>
      </c>
      <c r="K343" s="3">
        <v>0.34</v>
      </c>
      <c r="L343" t="s">
        <v>25</v>
      </c>
      <c r="M343" t="s">
        <v>26</v>
      </c>
      <c r="N343" s="2">
        <f>Employee_Data[[#This Row],[Basic Salary]]*10%</f>
        <v>2052.5250000000001</v>
      </c>
      <c r="O343" s="4">
        <f>Employee_Data[[#This Row],[Basic Salary]]*7.5%</f>
        <v>1539.39375</v>
      </c>
      <c r="P343" s="2">
        <f>Employee_Data[[#This Row],[Basic Salary]]*3%</f>
        <v>615.75749999999994</v>
      </c>
      <c r="Q343" s="2">
        <f>SUM(Employee_Data[[#This Row],[Basic Salary]],Employee_Data[[#This Row],[HRA]],Employee_Data[[#This Row],[MA]],Employee_Data[[#This Row],[TA]])</f>
        <v>24732.92625</v>
      </c>
      <c r="R343" s="4">
        <f>Employee_Data[[#This Row],[Basic Salary]]*12.5%</f>
        <v>2565.65625</v>
      </c>
      <c r="S343" s="2">
        <f>Employee_Data[[#This Row],[Annual Salary]]/12</f>
        <v>20525.25</v>
      </c>
    </row>
    <row r="344" spans="1:19" x14ac:dyDescent="0.3">
      <c r="A344" t="s">
        <v>766</v>
      </c>
      <c r="B344" t="s">
        <v>767</v>
      </c>
      <c r="C344" t="s">
        <v>89</v>
      </c>
      <c r="D344" t="s">
        <v>21</v>
      </c>
      <c r="E344" t="s">
        <v>31</v>
      </c>
      <c r="F344" t="s">
        <v>42</v>
      </c>
      <c r="G344" t="s">
        <v>66</v>
      </c>
      <c r="H344">
        <v>60</v>
      </c>
      <c r="I344" s="1">
        <v>44327</v>
      </c>
      <c r="J344" s="2">
        <v>186400</v>
      </c>
      <c r="K344" s="3">
        <v>0.4</v>
      </c>
      <c r="L344" t="s">
        <v>25</v>
      </c>
      <c r="M344" t="s">
        <v>32</v>
      </c>
      <c r="N344" s="2">
        <f>Employee_Data[[#This Row],[Basic Salary]]*10%</f>
        <v>1553.3333333333335</v>
      </c>
      <c r="O344" s="4">
        <f>Employee_Data[[#This Row],[Basic Salary]]*7.5%</f>
        <v>1165</v>
      </c>
      <c r="P344" s="2">
        <f>Employee_Data[[#This Row],[Basic Salary]]*3%</f>
        <v>466</v>
      </c>
      <c r="Q344" s="2">
        <f>SUM(Employee_Data[[#This Row],[Basic Salary]],Employee_Data[[#This Row],[HRA]],Employee_Data[[#This Row],[MA]],Employee_Data[[#This Row],[TA]])</f>
        <v>18717.666666666668</v>
      </c>
      <c r="R344" s="4">
        <f>Employee_Data[[#This Row],[Basic Salary]]*12.5%</f>
        <v>1941.6666666666667</v>
      </c>
      <c r="S344" s="2">
        <f>Employee_Data[[#This Row],[Annual Salary]]/12</f>
        <v>15533.333333333334</v>
      </c>
    </row>
    <row r="345" spans="1:19" x14ac:dyDescent="0.3">
      <c r="A345" t="s">
        <v>768</v>
      </c>
      <c r="B345" t="s">
        <v>769</v>
      </c>
      <c r="C345" t="s">
        <v>227</v>
      </c>
      <c r="D345" t="s">
        <v>4</v>
      </c>
      <c r="E345" t="s">
        <v>31</v>
      </c>
      <c r="F345" t="s">
        <v>42</v>
      </c>
      <c r="G345" t="s">
        <v>24</v>
      </c>
      <c r="H345">
        <v>50</v>
      </c>
      <c r="I345" s="1">
        <v>44901</v>
      </c>
      <c r="J345" s="2">
        <v>91004</v>
      </c>
      <c r="K345" s="3">
        <v>0</v>
      </c>
      <c r="L345" t="s">
        <v>37</v>
      </c>
      <c r="M345" t="s">
        <v>38</v>
      </c>
      <c r="N345" s="2">
        <f>Employee_Data[[#This Row],[Basic Salary]]*10%</f>
        <v>758.36666666666679</v>
      </c>
      <c r="O345" s="4">
        <f>Employee_Data[[#This Row],[Basic Salary]]*7.5%</f>
        <v>568.77499999999998</v>
      </c>
      <c r="P345" s="2">
        <f>Employee_Data[[#This Row],[Basic Salary]]*3%</f>
        <v>227.51</v>
      </c>
      <c r="Q345" s="2">
        <f>SUM(Employee_Data[[#This Row],[Basic Salary]],Employee_Data[[#This Row],[HRA]],Employee_Data[[#This Row],[MA]],Employee_Data[[#This Row],[TA]])</f>
        <v>9138.3183333333327</v>
      </c>
      <c r="R345" s="4">
        <f>Employee_Data[[#This Row],[Basic Salary]]*12.5%</f>
        <v>947.95833333333337</v>
      </c>
      <c r="S345" s="2">
        <f>Employee_Data[[#This Row],[Annual Salary]]/12</f>
        <v>7583.666666666667</v>
      </c>
    </row>
    <row r="346" spans="1:19" x14ac:dyDescent="0.3">
      <c r="A346" t="s">
        <v>770</v>
      </c>
      <c r="B346" t="s">
        <v>771</v>
      </c>
      <c r="C346" t="s">
        <v>69</v>
      </c>
      <c r="D346" t="s">
        <v>30</v>
      </c>
      <c r="E346" t="s">
        <v>36</v>
      </c>
      <c r="F346" t="s">
        <v>23</v>
      </c>
      <c r="G346" t="s">
        <v>66</v>
      </c>
      <c r="H346">
        <v>41</v>
      </c>
      <c r="I346" s="1">
        <v>42718</v>
      </c>
      <c r="J346" s="2">
        <v>101411</v>
      </c>
      <c r="K346" s="3">
        <v>0.08</v>
      </c>
      <c r="L346" t="s">
        <v>25</v>
      </c>
      <c r="M346" t="s">
        <v>44</v>
      </c>
      <c r="N346" s="2">
        <f>Employee_Data[[#This Row],[Basic Salary]]*10%</f>
        <v>845.0916666666667</v>
      </c>
      <c r="O346" s="4">
        <f>Employee_Data[[#This Row],[Basic Salary]]*7.5%</f>
        <v>633.81874999999991</v>
      </c>
      <c r="P346" s="2">
        <f>Employee_Data[[#This Row],[Basic Salary]]*3%</f>
        <v>253.52749999999997</v>
      </c>
      <c r="Q346" s="2">
        <f>SUM(Employee_Data[[#This Row],[Basic Salary]],Employee_Data[[#This Row],[HRA]],Employee_Data[[#This Row],[MA]],Employee_Data[[#This Row],[TA]])</f>
        <v>10183.354583333334</v>
      </c>
      <c r="R346" s="4">
        <f>Employee_Data[[#This Row],[Basic Salary]]*12.5%</f>
        <v>1056.3645833333333</v>
      </c>
      <c r="S346" s="2">
        <f>Employee_Data[[#This Row],[Annual Salary]]/12</f>
        <v>8450.9166666666661</v>
      </c>
    </row>
    <row r="347" spans="1:19" x14ac:dyDescent="0.3">
      <c r="A347" t="s">
        <v>772</v>
      </c>
      <c r="B347" t="s">
        <v>773</v>
      </c>
      <c r="C347" t="s">
        <v>20</v>
      </c>
      <c r="D347" t="s">
        <v>21</v>
      </c>
      <c r="E347" t="s">
        <v>56</v>
      </c>
      <c r="F347" t="s">
        <v>42</v>
      </c>
      <c r="G347" t="s">
        <v>43</v>
      </c>
      <c r="H347">
        <v>28</v>
      </c>
      <c r="I347" s="1">
        <v>44052</v>
      </c>
      <c r="J347" s="2">
        <v>111779</v>
      </c>
      <c r="K347" s="3">
        <v>0</v>
      </c>
      <c r="L347" t="s">
        <v>25</v>
      </c>
      <c r="M347" t="s">
        <v>32</v>
      </c>
      <c r="N347" s="2">
        <f>Employee_Data[[#This Row],[Basic Salary]]*10%</f>
        <v>931.49166666666667</v>
      </c>
      <c r="O347" s="4">
        <f>Employee_Data[[#This Row],[Basic Salary]]*7.5%</f>
        <v>698.61874999999998</v>
      </c>
      <c r="P347" s="2">
        <f>Employee_Data[[#This Row],[Basic Salary]]*3%</f>
        <v>279.44749999999999</v>
      </c>
      <c r="Q347" s="2">
        <f>SUM(Employee_Data[[#This Row],[Basic Salary]],Employee_Data[[#This Row],[HRA]],Employee_Data[[#This Row],[MA]],Employee_Data[[#This Row],[TA]])</f>
        <v>11224.474583333333</v>
      </c>
      <c r="R347" s="4">
        <f>Employee_Data[[#This Row],[Basic Salary]]*12.5%</f>
        <v>1164.3645833333333</v>
      </c>
      <c r="S347" s="2">
        <f>Employee_Data[[#This Row],[Annual Salary]]/12</f>
        <v>9314.9166666666661</v>
      </c>
    </row>
    <row r="348" spans="1:19" x14ac:dyDescent="0.3">
      <c r="A348" t="s">
        <v>774</v>
      </c>
      <c r="B348" t="s">
        <v>775</v>
      </c>
      <c r="C348" t="s">
        <v>101</v>
      </c>
      <c r="D348" t="s">
        <v>4</v>
      </c>
      <c r="E348" t="s">
        <v>22</v>
      </c>
      <c r="F348" t="s">
        <v>42</v>
      </c>
      <c r="G348" t="s">
        <v>66</v>
      </c>
      <c r="H348">
        <v>25</v>
      </c>
      <c r="I348" s="1">
        <v>44580</v>
      </c>
      <c r="J348" s="2">
        <v>86075</v>
      </c>
      <c r="K348" s="3">
        <v>0</v>
      </c>
      <c r="L348" t="s">
        <v>25</v>
      </c>
      <c r="M348" t="s">
        <v>70</v>
      </c>
      <c r="N348" s="2">
        <f>Employee_Data[[#This Row],[Basic Salary]]*10%</f>
        <v>717.29166666666674</v>
      </c>
      <c r="O348" s="4">
        <f>Employee_Data[[#This Row],[Basic Salary]]*7.5%</f>
        <v>537.96875</v>
      </c>
      <c r="P348" s="2">
        <f>Employee_Data[[#This Row],[Basic Salary]]*3%</f>
        <v>215.1875</v>
      </c>
      <c r="Q348" s="2">
        <f>SUM(Employee_Data[[#This Row],[Basic Salary]],Employee_Data[[#This Row],[HRA]],Employee_Data[[#This Row],[MA]],Employee_Data[[#This Row],[TA]])</f>
        <v>8643.3645833333339</v>
      </c>
      <c r="R348" s="4">
        <f>Employee_Data[[#This Row],[Basic Salary]]*12.5%</f>
        <v>896.61458333333337</v>
      </c>
      <c r="S348" s="2">
        <f>Employee_Data[[#This Row],[Annual Salary]]/12</f>
        <v>7172.916666666667</v>
      </c>
    </row>
    <row r="349" spans="1:19" x14ac:dyDescent="0.3">
      <c r="A349" t="s">
        <v>776</v>
      </c>
      <c r="B349" t="s">
        <v>777</v>
      </c>
      <c r="C349" t="s">
        <v>29</v>
      </c>
      <c r="D349" t="s">
        <v>61</v>
      </c>
      <c r="E349" t="s">
        <v>56</v>
      </c>
      <c r="F349" t="s">
        <v>23</v>
      </c>
      <c r="G349" t="s">
        <v>43</v>
      </c>
      <c r="H349">
        <v>45</v>
      </c>
      <c r="I349" s="1">
        <v>42229</v>
      </c>
      <c r="J349" s="2">
        <v>52798</v>
      </c>
      <c r="K349" s="3">
        <v>0</v>
      </c>
      <c r="L349" t="s">
        <v>25</v>
      </c>
      <c r="M349" t="s">
        <v>70</v>
      </c>
      <c r="N349" s="2">
        <f>Employee_Data[[#This Row],[Basic Salary]]*10%</f>
        <v>439.98333333333335</v>
      </c>
      <c r="O349" s="4">
        <f>Employee_Data[[#This Row],[Basic Salary]]*7.5%</f>
        <v>329.98749999999995</v>
      </c>
      <c r="P349" s="2">
        <f>Employee_Data[[#This Row],[Basic Salary]]*3%</f>
        <v>131.99499999999998</v>
      </c>
      <c r="Q349" s="2">
        <f>SUM(Employee_Data[[#This Row],[Basic Salary]],Employee_Data[[#This Row],[HRA]],Employee_Data[[#This Row],[MA]],Employee_Data[[#This Row],[TA]])</f>
        <v>5301.7991666666667</v>
      </c>
      <c r="R349" s="4">
        <f>Employee_Data[[#This Row],[Basic Salary]]*12.5%</f>
        <v>549.97916666666663</v>
      </c>
      <c r="S349" s="2">
        <f>Employee_Data[[#This Row],[Annual Salary]]/12</f>
        <v>4399.833333333333</v>
      </c>
    </row>
    <row r="350" spans="1:19" x14ac:dyDescent="0.3">
      <c r="A350" t="s">
        <v>778</v>
      </c>
      <c r="B350" t="s">
        <v>779</v>
      </c>
      <c r="C350" t="s">
        <v>380</v>
      </c>
      <c r="D350" t="s">
        <v>4</v>
      </c>
      <c r="E350" t="s">
        <v>56</v>
      </c>
      <c r="F350" t="s">
        <v>42</v>
      </c>
      <c r="G350" t="s">
        <v>24</v>
      </c>
      <c r="H350">
        <v>63</v>
      </c>
      <c r="I350" s="1">
        <v>44182</v>
      </c>
      <c r="J350" s="2">
        <v>96136</v>
      </c>
      <c r="K350" s="3">
        <v>0</v>
      </c>
      <c r="L350" t="s">
        <v>37</v>
      </c>
      <c r="M350" t="s">
        <v>38</v>
      </c>
      <c r="N350" s="2">
        <f>Employee_Data[[#This Row],[Basic Salary]]*10%</f>
        <v>801.13333333333333</v>
      </c>
      <c r="O350" s="4">
        <f>Employee_Data[[#This Row],[Basic Salary]]*7.5%</f>
        <v>600.84999999999991</v>
      </c>
      <c r="P350" s="2">
        <f>Employee_Data[[#This Row],[Basic Salary]]*3%</f>
        <v>240.33999999999997</v>
      </c>
      <c r="Q350" s="2">
        <f>SUM(Employee_Data[[#This Row],[Basic Salary]],Employee_Data[[#This Row],[HRA]],Employee_Data[[#This Row],[MA]],Employee_Data[[#This Row],[TA]])</f>
        <v>9653.6566666666677</v>
      </c>
      <c r="R350" s="4">
        <f>Employee_Data[[#This Row],[Basic Salary]]*12.5%</f>
        <v>1001.4166666666666</v>
      </c>
      <c r="S350" s="2">
        <f>Employee_Data[[#This Row],[Annual Salary]]/12</f>
        <v>8011.333333333333</v>
      </c>
    </row>
    <row r="351" spans="1:19" x14ac:dyDescent="0.3">
      <c r="A351" t="s">
        <v>780</v>
      </c>
      <c r="B351" t="s">
        <v>781</v>
      </c>
      <c r="C351" t="s">
        <v>54</v>
      </c>
      <c r="D351" t="s">
        <v>80</v>
      </c>
      <c r="E351" t="s">
        <v>36</v>
      </c>
      <c r="F351" t="s">
        <v>23</v>
      </c>
      <c r="G351" t="s">
        <v>43</v>
      </c>
      <c r="H351">
        <v>52</v>
      </c>
      <c r="I351" s="1">
        <v>37479</v>
      </c>
      <c r="J351" s="2">
        <v>95682</v>
      </c>
      <c r="K351" s="3">
        <v>0</v>
      </c>
      <c r="L351" t="s">
        <v>25</v>
      </c>
      <c r="M351" t="s">
        <v>44</v>
      </c>
      <c r="N351" s="2">
        <f>Employee_Data[[#This Row],[Basic Salary]]*10%</f>
        <v>797.35</v>
      </c>
      <c r="O351" s="4">
        <f>Employee_Data[[#This Row],[Basic Salary]]*7.5%</f>
        <v>598.01249999999993</v>
      </c>
      <c r="P351" s="2">
        <f>Employee_Data[[#This Row],[Basic Salary]]*3%</f>
        <v>239.20499999999998</v>
      </c>
      <c r="Q351" s="2">
        <f>SUM(Employee_Data[[#This Row],[Basic Salary]],Employee_Data[[#This Row],[HRA]],Employee_Data[[#This Row],[MA]],Employee_Data[[#This Row],[TA]])</f>
        <v>9608.067500000001</v>
      </c>
      <c r="R351" s="4">
        <f>Employee_Data[[#This Row],[Basic Salary]]*12.5%</f>
        <v>996.6875</v>
      </c>
      <c r="S351" s="2">
        <f>Employee_Data[[#This Row],[Annual Salary]]/12</f>
        <v>7973.5</v>
      </c>
    </row>
    <row r="352" spans="1:19" x14ac:dyDescent="0.3">
      <c r="A352" t="s">
        <v>782</v>
      </c>
      <c r="B352" t="s">
        <v>783</v>
      </c>
      <c r="C352" t="s">
        <v>60</v>
      </c>
      <c r="D352" t="s">
        <v>80</v>
      </c>
      <c r="E352" t="s">
        <v>22</v>
      </c>
      <c r="F352" t="s">
        <v>42</v>
      </c>
      <c r="G352" t="s">
        <v>24</v>
      </c>
      <c r="H352">
        <v>59</v>
      </c>
      <c r="I352" s="1">
        <v>34118</v>
      </c>
      <c r="J352" s="2">
        <v>55476</v>
      </c>
      <c r="K352" s="3">
        <v>0</v>
      </c>
      <c r="L352" t="s">
        <v>37</v>
      </c>
      <c r="M352" t="s">
        <v>57</v>
      </c>
      <c r="N352" s="2">
        <f>Employee_Data[[#This Row],[Basic Salary]]*10%</f>
        <v>462.3</v>
      </c>
      <c r="O352" s="4">
        <f>Employee_Data[[#This Row],[Basic Salary]]*7.5%</f>
        <v>346.72499999999997</v>
      </c>
      <c r="P352" s="2">
        <f>Employee_Data[[#This Row],[Basic Salary]]*3%</f>
        <v>138.69</v>
      </c>
      <c r="Q352" s="2">
        <f>SUM(Employee_Data[[#This Row],[Basic Salary]],Employee_Data[[#This Row],[HRA]],Employee_Data[[#This Row],[MA]],Employee_Data[[#This Row],[TA]])</f>
        <v>5570.7150000000001</v>
      </c>
      <c r="R352" s="4">
        <f>Employee_Data[[#This Row],[Basic Salary]]*12.5%</f>
        <v>577.875</v>
      </c>
      <c r="S352" s="2">
        <f>Employee_Data[[#This Row],[Annual Salary]]/12</f>
        <v>4623</v>
      </c>
    </row>
    <row r="353" spans="1:19" x14ac:dyDescent="0.3">
      <c r="A353" t="s">
        <v>784</v>
      </c>
      <c r="B353" t="s">
        <v>785</v>
      </c>
      <c r="C353" t="s">
        <v>89</v>
      </c>
      <c r="D353" t="s">
        <v>61</v>
      </c>
      <c r="E353" t="s">
        <v>22</v>
      </c>
      <c r="F353" t="s">
        <v>23</v>
      </c>
      <c r="G353" t="s">
        <v>66</v>
      </c>
      <c r="H353">
        <v>30</v>
      </c>
      <c r="I353" s="1">
        <v>43114</v>
      </c>
      <c r="J353" s="2">
        <v>197792</v>
      </c>
      <c r="K353" s="3">
        <v>0.34</v>
      </c>
      <c r="L353" t="s">
        <v>25</v>
      </c>
      <c r="M353" t="s">
        <v>48</v>
      </c>
      <c r="N353" s="2">
        <f>Employee_Data[[#This Row],[Basic Salary]]*10%</f>
        <v>1648.2666666666669</v>
      </c>
      <c r="O353" s="4">
        <f>Employee_Data[[#This Row],[Basic Salary]]*7.5%</f>
        <v>1236.2</v>
      </c>
      <c r="P353" s="2">
        <f>Employee_Data[[#This Row],[Basic Salary]]*3%</f>
        <v>494.48</v>
      </c>
      <c r="Q353" s="2">
        <f>SUM(Employee_Data[[#This Row],[Basic Salary]],Employee_Data[[#This Row],[HRA]],Employee_Data[[#This Row],[MA]],Employee_Data[[#This Row],[TA]])</f>
        <v>19861.613333333335</v>
      </c>
      <c r="R353" s="4">
        <f>Employee_Data[[#This Row],[Basic Salary]]*12.5%</f>
        <v>2060.3333333333335</v>
      </c>
      <c r="S353" s="2">
        <f>Employee_Data[[#This Row],[Annual Salary]]/12</f>
        <v>16482.666666666668</v>
      </c>
    </row>
    <row r="354" spans="1:19" x14ac:dyDescent="0.3">
      <c r="A354" t="s">
        <v>786</v>
      </c>
      <c r="B354" t="s">
        <v>787</v>
      </c>
      <c r="C354" t="s">
        <v>292</v>
      </c>
      <c r="D354" t="s">
        <v>21</v>
      </c>
      <c r="E354" t="s">
        <v>36</v>
      </c>
      <c r="F354" t="s">
        <v>42</v>
      </c>
      <c r="G354" t="s">
        <v>66</v>
      </c>
      <c r="H354">
        <v>55</v>
      </c>
      <c r="I354" s="1">
        <v>40004</v>
      </c>
      <c r="J354" s="2">
        <v>82271</v>
      </c>
      <c r="K354" s="3">
        <v>0</v>
      </c>
      <c r="L354" t="s">
        <v>25</v>
      </c>
      <c r="M354" t="s">
        <v>32</v>
      </c>
      <c r="N354" s="2">
        <f>Employee_Data[[#This Row],[Basic Salary]]*10%</f>
        <v>685.5916666666667</v>
      </c>
      <c r="O354" s="4">
        <f>Employee_Data[[#This Row],[Basic Salary]]*7.5%</f>
        <v>514.19375000000002</v>
      </c>
      <c r="P354" s="2">
        <f>Employee_Data[[#This Row],[Basic Salary]]*3%</f>
        <v>205.67750000000001</v>
      </c>
      <c r="Q354" s="2">
        <f>SUM(Employee_Data[[#This Row],[Basic Salary]],Employee_Data[[#This Row],[HRA]],Employee_Data[[#This Row],[MA]],Employee_Data[[#This Row],[TA]])</f>
        <v>8261.3795833333334</v>
      </c>
      <c r="R354" s="4">
        <f>Employee_Data[[#This Row],[Basic Salary]]*12.5%</f>
        <v>856.98958333333337</v>
      </c>
      <c r="S354" s="2">
        <f>Employee_Data[[#This Row],[Annual Salary]]/12</f>
        <v>6855.916666666667</v>
      </c>
    </row>
    <row r="355" spans="1:19" x14ac:dyDescent="0.3">
      <c r="A355" t="s">
        <v>788</v>
      </c>
      <c r="B355" t="s">
        <v>789</v>
      </c>
      <c r="C355" t="s">
        <v>83</v>
      </c>
      <c r="D355" t="s">
        <v>55</v>
      </c>
      <c r="E355" t="s">
        <v>56</v>
      </c>
      <c r="F355" t="s">
        <v>23</v>
      </c>
      <c r="G355" t="s">
        <v>24</v>
      </c>
      <c r="H355">
        <v>65</v>
      </c>
      <c r="I355" s="1">
        <v>39926</v>
      </c>
      <c r="J355" s="2">
        <v>155716</v>
      </c>
      <c r="K355" s="3">
        <v>0.12</v>
      </c>
      <c r="L355" t="s">
        <v>25</v>
      </c>
      <c r="M355" t="s">
        <v>44</v>
      </c>
      <c r="N355" s="2">
        <f>Employee_Data[[#This Row],[Basic Salary]]*10%</f>
        <v>1297.6333333333334</v>
      </c>
      <c r="O355" s="4">
        <f>Employee_Data[[#This Row],[Basic Salary]]*7.5%</f>
        <v>973.22500000000002</v>
      </c>
      <c r="P355" s="2">
        <f>Employee_Data[[#This Row],[Basic Salary]]*3%</f>
        <v>389.29</v>
      </c>
      <c r="Q355" s="2">
        <f>SUM(Employee_Data[[#This Row],[Basic Salary]],Employee_Data[[#This Row],[HRA]],Employee_Data[[#This Row],[MA]],Employee_Data[[#This Row],[TA]])</f>
        <v>15636.481666666668</v>
      </c>
      <c r="R355" s="4">
        <f>Employee_Data[[#This Row],[Basic Salary]]*12.5%</f>
        <v>1622.0416666666667</v>
      </c>
      <c r="S355" s="2">
        <f>Employee_Data[[#This Row],[Annual Salary]]/12</f>
        <v>12976.333333333334</v>
      </c>
    </row>
    <row r="356" spans="1:19" x14ac:dyDescent="0.3">
      <c r="A356" t="s">
        <v>790</v>
      </c>
      <c r="B356" t="s">
        <v>791</v>
      </c>
      <c r="C356" t="s">
        <v>247</v>
      </c>
      <c r="D356" t="s">
        <v>126</v>
      </c>
      <c r="E356" t="s">
        <v>31</v>
      </c>
      <c r="F356" t="s">
        <v>42</v>
      </c>
      <c r="G356" t="s">
        <v>66</v>
      </c>
      <c r="H356">
        <v>34</v>
      </c>
      <c r="I356" s="1">
        <v>41809</v>
      </c>
      <c r="J356" s="2">
        <v>71699</v>
      </c>
      <c r="K356" s="3">
        <v>0</v>
      </c>
      <c r="L356" t="s">
        <v>25</v>
      </c>
      <c r="M356" t="s">
        <v>51</v>
      </c>
      <c r="N356" s="2">
        <f>Employee_Data[[#This Row],[Basic Salary]]*10%</f>
        <v>597.49166666666667</v>
      </c>
      <c r="O356" s="4">
        <f>Employee_Data[[#This Row],[Basic Salary]]*7.5%</f>
        <v>448.11875000000003</v>
      </c>
      <c r="P356" s="2">
        <f>Employee_Data[[#This Row],[Basic Salary]]*3%</f>
        <v>179.2475</v>
      </c>
      <c r="Q356" s="2">
        <f>SUM(Employee_Data[[#This Row],[Basic Salary]],Employee_Data[[#This Row],[HRA]],Employee_Data[[#This Row],[MA]],Employee_Data[[#This Row],[TA]])</f>
        <v>7199.7745833333338</v>
      </c>
      <c r="R356" s="4">
        <f>Employee_Data[[#This Row],[Basic Salary]]*12.5%</f>
        <v>746.86458333333337</v>
      </c>
      <c r="S356" s="2">
        <f>Employee_Data[[#This Row],[Annual Salary]]/12</f>
        <v>5974.916666666667</v>
      </c>
    </row>
    <row r="357" spans="1:19" x14ac:dyDescent="0.3">
      <c r="A357" t="s">
        <v>792</v>
      </c>
      <c r="B357" t="s">
        <v>793</v>
      </c>
      <c r="C357" t="s">
        <v>83</v>
      </c>
      <c r="D357" t="s">
        <v>126</v>
      </c>
      <c r="E357" t="s">
        <v>22</v>
      </c>
      <c r="F357" t="s">
        <v>42</v>
      </c>
      <c r="G357" t="s">
        <v>24</v>
      </c>
      <c r="H357">
        <v>51</v>
      </c>
      <c r="I357" s="1">
        <v>38824</v>
      </c>
      <c r="J357" s="2">
        <v>147436</v>
      </c>
      <c r="K357" s="3">
        <v>0.11</v>
      </c>
      <c r="L357" t="s">
        <v>25</v>
      </c>
      <c r="M357" t="s">
        <v>48</v>
      </c>
      <c r="N357" s="2">
        <f>Employee_Data[[#This Row],[Basic Salary]]*10%</f>
        <v>1228.6333333333334</v>
      </c>
      <c r="O357" s="4">
        <f>Employee_Data[[#This Row],[Basic Salary]]*7.5%</f>
        <v>921.47500000000002</v>
      </c>
      <c r="P357" s="2">
        <f>Employee_Data[[#This Row],[Basic Salary]]*3%</f>
        <v>368.59000000000003</v>
      </c>
      <c r="Q357" s="2">
        <f>SUM(Employee_Data[[#This Row],[Basic Salary]],Employee_Data[[#This Row],[HRA]],Employee_Data[[#This Row],[MA]],Employee_Data[[#This Row],[TA]])</f>
        <v>14805.031666666668</v>
      </c>
      <c r="R357" s="4">
        <f>Employee_Data[[#This Row],[Basic Salary]]*12.5%</f>
        <v>1535.7916666666667</v>
      </c>
      <c r="S357" s="2">
        <f>Employee_Data[[#This Row],[Annual Salary]]/12</f>
        <v>12286.333333333334</v>
      </c>
    </row>
    <row r="358" spans="1:19" x14ac:dyDescent="0.3">
      <c r="A358" t="s">
        <v>794</v>
      </c>
      <c r="B358" t="s">
        <v>795</v>
      </c>
      <c r="C358" t="s">
        <v>232</v>
      </c>
      <c r="D358" t="s">
        <v>126</v>
      </c>
      <c r="E358" t="s">
        <v>22</v>
      </c>
      <c r="F358" t="s">
        <v>42</v>
      </c>
      <c r="G358" t="s">
        <v>24</v>
      </c>
      <c r="H358">
        <v>52</v>
      </c>
      <c r="I358" s="1">
        <v>43667</v>
      </c>
      <c r="J358" s="2">
        <v>88220</v>
      </c>
      <c r="K358" s="3">
        <v>0</v>
      </c>
      <c r="L358" t="s">
        <v>37</v>
      </c>
      <c r="M358" t="s">
        <v>38</v>
      </c>
      <c r="N358" s="2">
        <f>Employee_Data[[#This Row],[Basic Salary]]*10%</f>
        <v>735.16666666666674</v>
      </c>
      <c r="O358" s="4">
        <f>Employee_Data[[#This Row],[Basic Salary]]*7.5%</f>
        <v>551.375</v>
      </c>
      <c r="P358" s="2">
        <f>Employee_Data[[#This Row],[Basic Salary]]*3%</f>
        <v>220.55</v>
      </c>
      <c r="Q358" s="2">
        <f>SUM(Employee_Data[[#This Row],[Basic Salary]],Employee_Data[[#This Row],[HRA]],Employee_Data[[#This Row],[MA]],Employee_Data[[#This Row],[TA]])</f>
        <v>8858.7583333333332</v>
      </c>
      <c r="R358" s="4">
        <f>Employee_Data[[#This Row],[Basic Salary]]*12.5%</f>
        <v>918.95833333333337</v>
      </c>
      <c r="S358" s="2">
        <f>Employee_Data[[#This Row],[Annual Salary]]/12</f>
        <v>7351.666666666667</v>
      </c>
    </row>
    <row r="359" spans="1:19" x14ac:dyDescent="0.3">
      <c r="A359" t="s">
        <v>796</v>
      </c>
      <c r="B359" t="s">
        <v>797</v>
      </c>
      <c r="C359" t="s">
        <v>104</v>
      </c>
      <c r="D359" t="s">
        <v>30</v>
      </c>
      <c r="E359" t="s">
        <v>56</v>
      </c>
      <c r="F359" t="s">
        <v>42</v>
      </c>
      <c r="G359" t="s">
        <v>43</v>
      </c>
      <c r="H359">
        <v>44</v>
      </c>
      <c r="I359" s="1">
        <v>43927</v>
      </c>
      <c r="J359" s="2">
        <v>54295</v>
      </c>
      <c r="K359" s="3">
        <v>0</v>
      </c>
      <c r="L359" t="s">
        <v>25</v>
      </c>
      <c r="M359" t="s">
        <v>26</v>
      </c>
      <c r="N359" s="2">
        <f>Employee_Data[[#This Row],[Basic Salary]]*10%</f>
        <v>452.45833333333331</v>
      </c>
      <c r="O359" s="4">
        <f>Employee_Data[[#This Row],[Basic Salary]]*7.5%</f>
        <v>339.34374999999994</v>
      </c>
      <c r="P359" s="2">
        <f>Employee_Data[[#This Row],[Basic Salary]]*3%</f>
        <v>135.73749999999998</v>
      </c>
      <c r="Q359" s="2">
        <f>SUM(Employee_Data[[#This Row],[Basic Salary]],Employee_Data[[#This Row],[HRA]],Employee_Data[[#This Row],[MA]],Employee_Data[[#This Row],[TA]])</f>
        <v>5452.1229166666662</v>
      </c>
      <c r="R359" s="4">
        <f>Employee_Data[[#This Row],[Basic Salary]]*12.5%</f>
        <v>565.57291666666663</v>
      </c>
      <c r="S359" s="2">
        <f>Employee_Data[[#This Row],[Annual Salary]]/12</f>
        <v>4524.583333333333</v>
      </c>
    </row>
    <row r="360" spans="1:19" x14ac:dyDescent="0.3">
      <c r="A360" t="s">
        <v>798</v>
      </c>
      <c r="B360" t="s">
        <v>799</v>
      </c>
      <c r="C360" t="s">
        <v>89</v>
      </c>
      <c r="D360" t="s">
        <v>126</v>
      </c>
      <c r="E360" t="s">
        <v>31</v>
      </c>
      <c r="F360" t="s">
        <v>42</v>
      </c>
      <c r="G360" t="s">
        <v>43</v>
      </c>
      <c r="H360">
        <v>44</v>
      </c>
      <c r="I360" s="1">
        <v>38150</v>
      </c>
      <c r="J360" s="2">
        <v>246538</v>
      </c>
      <c r="K360" s="3">
        <v>0.35</v>
      </c>
      <c r="L360" t="s">
        <v>25</v>
      </c>
      <c r="M360" t="s">
        <v>70</v>
      </c>
      <c r="N360" s="2">
        <f>Employee_Data[[#This Row],[Basic Salary]]*10%</f>
        <v>2054.4833333333331</v>
      </c>
      <c r="O360" s="4">
        <f>Employee_Data[[#This Row],[Basic Salary]]*7.5%</f>
        <v>1540.8625</v>
      </c>
      <c r="P360" s="2">
        <f>Employee_Data[[#This Row],[Basic Salary]]*3%</f>
        <v>616.34499999999991</v>
      </c>
      <c r="Q360" s="2">
        <f>SUM(Employee_Data[[#This Row],[Basic Salary]],Employee_Data[[#This Row],[HRA]],Employee_Data[[#This Row],[MA]],Employee_Data[[#This Row],[TA]])</f>
        <v>24756.524166666666</v>
      </c>
      <c r="R360" s="4">
        <f>Employee_Data[[#This Row],[Basic Salary]]*12.5%</f>
        <v>2568.1041666666665</v>
      </c>
      <c r="S360" s="2">
        <f>Employee_Data[[#This Row],[Annual Salary]]/12</f>
        <v>20544.833333333332</v>
      </c>
    </row>
    <row r="361" spans="1:19" x14ac:dyDescent="0.3">
      <c r="A361" t="s">
        <v>800</v>
      </c>
      <c r="B361" t="s">
        <v>801</v>
      </c>
      <c r="C361" t="s">
        <v>159</v>
      </c>
      <c r="D361" t="s">
        <v>4</v>
      </c>
      <c r="E361" t="s">
        <v>56</v>
      </c>
      <c r="F361" t="s">
        <v>23</v>
      </c>
      <c r="G361" t="s">
        <v>43</v>
      </c>
      <c r="H361">
        <v>40</v>
      </c>
      <c r="I361" s="1">
        <v>38822</v>
      </c>
      <c r="J361" s="2">
        <v>43645</v>
      </c>
      <c r="K361" s="3">
        <v>0</v>
      </c>
      <c r="L361" t="s">
        <v>25</v>
      </c>
      <c r="M361" t="s">
        <v>48</v>
      </c>
      <c r="N361" s="2">
        <f>Employee_Data[[#This Row],[Basic Salary]]*10%</f>
        <v>363.70833333333337</v>
      </c>
      <c r="O361" s="4">
        <f>Employee_Data[[#This Row],[Basic Salary]]*7.5%</f>
        <v>272.78125</v>
      </c>
      <c r="P361" s="2">
        <f>Employee_Data[[#This Row],[Basic Salary]]*3%</f>
        <v>109.1125</v>
      </c>
      <c r="Q361" s="2">
        <f>SUM(Employee_Data[[#This Row],[Basic Salary]],Employee_Data[[#This Row],[HRA]],Employee_Data[[#This Row],[MA]],Employee_Data[[#This Row],[TA]])</f>
        <v>4382.6854166666672</v>
      </c>
      <c r="R361" s="4">
        <f>Employee_Data[[#This Row],[Basic Salary]]*12.5%</f>
        <v>454.63541666666669</v>
      </c>
      <c r="S361" s="2">
        <f>Employee_Data[[#This Row],[Annual Salary]]/12</f>
        <v>3637.0833333333335</v>
      </c>
    </row>
    <row r="362" spans="1:19" x14ac:dyDescent="0.3">
      <c r="A362" t="s">
        <v>802</v>
      </c>
      <c r="B362" t="s">
        <v>803</v>
      </c>
      <c r="C362" t="s">
        <v>69</v>
      </c>
      <c r="D362" t="s">
        <v>126</v>
      </c>
      <c r="E362" t="s">
        <v>22</v>
      </c>
      <c r="F362" t="s">
        <v>23</v>
      </c>
      <c r="G362" t="s">
        <v>24</v>
      </c>
      <c r="H362">
        <v>25</v>
      </c>
      <c r="I362" s="1">
        <v>44662</v>
      </c>
      <c r="J362" s="2">
        <v>125644</v>
      </c>
      <c r="K362" s="3">
        <v>7.0000000000000007E-2</v>
      </c>
      <c r="L362" t="s">
        <v>25</v>
      </c>
      <c r="M362" t="s">
        <v>44</v>
      </c>
      <c r="N362" s="2">
        <f>Employee_Data[[#This Row],[Basic Salary]]*10%</f>
        <v>1047.0333333333335</v>
      </c>
      <c r="O362" s="4">
        <f>Employee_Data[[#This Row],[Basic Salary]]*7.5%</f>
        <v>785.27499999999998</v>
      </c>
      <c r="P362" s="2">
        <f>Employee_Data[[#This Row],[Basic Salary]]*3%</f>
        <v>314.11</v>
      </c>
      <c r="Q362" s="2">
        <f>SUM(Employee_Data[[#This Row],[Basic Salary]],Employee_Data[[#This Row],[HRA]],Employee_Data[[#This Row],[MA]],Employee_Data[[#This Row],[TA]])</f>
        <v>12616.751666666667</v>
      </c>
      <c r="R362" s="4">
        <f>Employee_Data[[#This Row],[Basic Salary]]*12.5%</f>
        <v>1308.7916666666667</v>
      </c>
      <c r="S362" s="2">
        <f>Employee_Data[[#This Row],[Annual Salary]]/12</f>
        <v>10470.333333333334</v>
      </c>
    </row>
    <row r="363" spans="1:19" x14ac:dyDescent="0.3">
      <c r="A363" t="s">
        <v>804</v>
      </c>
      <c r="B363" t="s">
        <v>805</v>
      </c>
      <c r="C363" t="s">
        <v>94</v>
      </c>
      <c r="D363" t="s">
        <v>4</v>
      </c>
      <c r="E363" t="s">
        <v>36</v>
      </c>
      <c r="F363" t="s">
        <v>42</v>
      </c>
      <c r="G363" t="s">
        <v>43</v>
      </c>
      <c r="H363">
        <v>32</v>
      </c>
      <c r="I363" s="1">
        <v>43114</v>
      </c>
      <c r="J363" s="2">
        <v>78414</v>
      </c>
      <c r="K363" s="3">
        <v>0</v>
      </c>
      <c r="L363" t="s">
        <v>25</v>
      </c>
      <c r="M363" t="s">
        <v>44</v>
      </c>
      <c r="N363" s="2">
        <f>Employee_Data[[#This Row],[Basic Salary]]*10%</f>
        <v>653.45000000000005</v>
      </c>
      <c r="O363" s="4">
        <f>Employee_Data[[#This Row],[Basic Salary]]*7.5%</f>
        <v>490.08749999999998</v>
      </c>
      <c r="P363" s="2">
        <f>Employee_Data[[#This Row],[Basic Salary]]*3%</f>
        <v>196.035</v>
      </c>
      <c r="Q363" s="2">
        <f>SUM(Employee_Data[[#This Row],[Basic Salary]],Employee_Data[[#This Row],[HRA]],Employee_Data[[#This Row],[MA]],Employee_Data[[#This Row],[TA]])</f>
        <v>7874.0724999999993</v>
      </c>
      <c r="R363" s="4">
        <f>Employee_Data[[#This Row],[Basic Salary]]*12.5%</f>
        <v>816.8125</v>
      </c>
      <c r="S363" s="2">
        <f>Employee_Data[[#This Row],[Annual Salary]]/12</f>
        <v>6534.5</v>
      </c>
    </row>
    <row r="364" spans="1:19" x14ac:dyDescent="0.3">
      <c r="A364" t="s">
        <v>806</v>
      </c>
      <c r="B364" t="s">
        <v>807</v>
      </c>
      <c r="C364" t="s">
        <v>54</v>
      </c>
      <c r="D364" t="s">
        <v>80</v>
      </c>
      <c r="E364" t="s">
        <v>56</v>
      </c>
      <c r="F364" t="s">
        <v>42</v>
      </c>
      <c r="G364" t="s">
        <v>43</v>
      </c>
      <c r="H364">
        <v>45</v>
      </c>
      <c r="I364" s="1">
        <v>41299</v>
      </c>
      <c r="J364" s="2">
        <v>88016</v>
      </c>
      <c r="K364" s="3">
        <v>0</v>
      </c>
      <c r="L364" t="s">
        <v>137</v>
      </c>
      <c r="M364" t="s">
        <v>138</v>
      </c>
      <c r="N364" s="2">
        <f>Employee_Data[[#This Row],[Basic Salary]]*10%</f>
        <v>733.4666666666667</v>
      </c>
      <c r="O364" s="4">
        <f>Employee_Data[[#This Row],[Basic Salary]]*7.5%</f>
        <v>550.1</v>
      </c>
      <c r="P364" s="2">
        <f>Employee_Data[[#This Row],[Basic Salary]]*3%</f>
        <v>220.04</v>
      </c>
      <c r="Q364" s="2">
        <f>SUM(Employee_Data[[#This Row],[Basic Salary]],Employee_Data[[#This Row],[HRA]],Employee_Data[[#This Row],[MA]],Employee_Data[[#This Row],[TA]])</f>
        <v>8838.2733333333344</v>
      </c>
      <c r="R364" s="4">
        <f>Employee_Data[[#This Row],[Basic Salary]]*12.5%</f>
        <v>916.83333333333337</v>
      </c>
      <c r="S364" s="2">
        <f>Employee_Data[[#This Row],[Annual Salary]]/12</f>
        <v>7334.666666666667</v>
      </c>
    </row>
    <row r="365" spans="1:19" x14ac:dyDescent="0.3">
      <c r="A365" t="s">
        <v>808</v>
      </c>
      <c r="B365" t="s">
        <v>809</v>
      </c>
      <c r="C365" t="s">
        <v>180</v>
      </c>
      <c r="D365" t="s">
        <v>4</v>
      </c>
      <c r="E365" t="s">
        <v>31</v>
      </c>
      <c r="F365" t="s">
        <v>42</v>
      </c>
      <c r="G365" t="s">
        <v>66</v>
      </c>
      <c r="H365">
        <v>56</v>
      </c>
      <c r="I365" s="1">
        <v>44446</v>
      </c>
      <c r="J365" s="2">
        <v>66561</v>
      </c>
      <c r="K365" s="3">
        <v>0.06</v>
      </c>
      <c r="L365" t="s">
        <v>25</v>
      </c>
      <c r="M365" t="s">
        <v>32</v>
      </c>
      <c r="N365" s="2">
        <f>Employee_Data[[#This Row],[Basic Salary]]*10%</f>
        <v>554.67500000000007</v>
      </c>
      <c r="O365" s="4">
        <f>Employee_Data[[#This Row],[Basic Salary]]*7.5%</f>
        <v>416.00624999999997</v>
      </c>
      <c r="P365" s="2">
        <f>Employee_Data[[#This Row],[Basic Salary]]*3%</f>
        <v>166.4025</v>
      </c>
      <c r="Q365" s="2">
        <f>SUM(Employee_Data[[#This Row],[Basic Salary]],Employee_Data[[#This Row],[HRA]],Employee_Data[[#This Row],[MA]],Employee_Data[[#This Row],[TA]])</f>
        <v>6683.8337500000007</v>
      </c>
      <c r="R365" s="4">
        <f>Employee_Data[[#This Row],[Basic Salary]]*12.5%</f>
        <v>693.34375</v>
      </c>
      <c r="S365" s="2">
        <f>Employee_Data[[#This Row],[Annual Salary]]/12</f>
        <v>5546.75</v>
      </c>
    </row>
    <row r="366" spans="1:19" x14ac:dyDescent="0.3">
      <c r="A366" t="s">
        <v>810</v>
      </c>
      <c r="B366" t="s">
        <v>811</v>
      </c>
      <c r="C366" t="s">
        <v>408</v>
      </c>
      <c r="D366" t="s">
        <v>21</v>
      </c>
      <c r="E366" t="s">
        <v>36</v>
      </c>
      <c r="F366" t="s">
        <v>42</v>
      </c>
      <c r="G366" t="s">
        <v>43</v>
      </c>
      <c r="H366">
        <v>52</v>
      </c>
      <c r="I366" s="1">
        <v>37188</v>
      </c>
      <c r="J366" s="2">
        <v>89811</v>
      </c>
      <c r="K366" s="3">
        <v>0</v>
      </c>
      <c r="L366" t="s">
        <v>137</v>
      </c>
      <c r="M366" t="s">
        <v>138</v>
      </c>
      <c r="N366" s="2">
        <f>Employee_Data[[#This Row],[Basic Salary]]*10%</f>
        <v>748.42500000000007</v>
      </c>
      <c r="O366" s="4">
        <f>Employee_Data[[#This Row],[Basic Salary]]*7.5%</f>
        <v>561.31875000000002</v>
      </c>
      <c r="P366" s="2">
        <f>Employee_Data[[#This Row],[Basic Salary]]*3%</f>
        <v>224.5275</v>
      </c>
      <c r="Q366" s="2">
        <f>SUM(Employee_Data[[#This Row],[Basic Salary]],Employee_Data[[#This Row],[HRA]],Employee_Data[[#This Row],[MA]],Employee_Data[[#This Row],[TA]])</f>
        <v>9018.5212499999998</v>
      </c>
      <c r="R366" s="4">
        <f>Employee_Data[[#This Row],[Basic Salary]]*12.5%</f>
        <v>935.53125</v>
      </c>
      <c r="S366" s="2">
        <f>Employee_Data[[#This Row],[Annual Salary]]/12</f>
        <v>7484.25</v>
      </c>
    </row>
    <row r="367" spans="1:19" x14ac:dyDescent="0.3">
      <c r="A367" t="s">
        <v>812</v>
      </c>
      <c r="B367" t="s">
        <v>813</v>
      </c>
      <c r="C367" t="s">
        <v>69</v>
      </c>
      <c r="D367" t="s">
        <v>4</v>
      </c>
      <c r="E367" t="s">
        <v>22</v>
      </c>
      <c r="F367" t="s">
        <v>23</v>
      </c>
      <c r="G367" t="s">
        <v>24</v>
      </c>
      <c r="H367">
        <v>49</v>
      </c>
      <c r="I367" s="1">
        <v>40324</v>
      </c>
      <c r="J367" s="2">
        <v>125506</v>
      </c>
      <c r="K367" s="3">
        <v>0.09</v>
      </c>
      <c r="L367" t="s">
        <v>25</v>
      </c>
      <c r="M367" t="s">
        <v>44</v>
      </c>
      <c r="N367" s="2">
        <f>Employee_Data[[#This Row],[Basic Salary]]*10%</f>
        <v>1045.8833333333334</v>
      </c>
      <c r="O367" s="4">
        <f>Employee_Data[[#This Row],[Basic Salary]]*7.5%</f>
        <v>784.41250000000002</v>
      </c>
      <c r="P367" s="2">
        <f>Employee_Data[[#This Row],[Basic Salary]]*3%</f>
        <v>313.76499999999999</v>
      </c>
      <c r="Q367" s="2">
        <f>SUM(Employee_Data[[#This Row],[Basic Salary]],Employee_Data[[#This Row],[HRA]],Employee_Data[[#This Row],[MA]],Employee_Data[[#This Row],[TA]])</f>
        <v>12602.894166666667</v>
      </c>
      <c r="R367" s="4">
        <f>Employee_Data[[#This Row],[Basic Salary]]*12.5%</f>
        <v>1307.3541666666667</v>
      </c>
      <c r="S367" s="2">
        <f>Employee_Data[[#This Row],[Annual Salary]]/12</f>
        <v>10458.833333333334</v>
      </c>
    </row>
    <row r="368" spans="1:19" x14ac:dyDescent="0.3">
      <c r="A368" t="s">
        <v>814</v>
      </c>
      <c r="B368" t="s">
        <v>815</v>
      </c>
      <c r="C368" t="s">
        <v>60</v>
      </c>
      <c r="D368" t="s">
        <v>61</v>
      </c>
      <c r="E368" t="s">
        <v>22</v>
      </c>
      <c r="F368" t="s">
        <v>42</v>
      </c>
      <c r="G368" t="s">
        <v>24</v>
      </c>
      <c r="H368">
        <v>46</v>
      </c>
      <c r="I368" s="1">
        <v>40050</v>
      </c>
      <c r="J368" s="2">
        <v>56409</v>
      </c>
      <c r="K368" s="3">
        <v>0</v>
      </c>
      <c r="L368" t="s">
        <v>25</v>
      </c>
      <c r="M368" t="s">
        <v>26</v>
      </c>
      <c r="N368" s="2">
        <f>Employee_Data[[#This Row],[Basic Salary]]*10%</f>
        <v>470.07500000000005</v>
      </c>
      <c r="O368" s="4">
        <f>Employee_Data[[#This Row],[Basic Salary]]*7.5%</f>
        <v>352.55624999999998</v>
      </c>
      <c r="P368" s="2">
        <f>Employee_Data[[#This Row],[Basic Salary]]*3%</f>
        <v>141.02250000000001</v>
      </c>
      <c r="Q368" s="2">
        <f>SUM(Employee_Data[[#This Row],[Basic Salary]],Employee_Data[[#This Row],[HRA]],Employee_Data[[#This Row],[MA]],Employee_Data[[#This Row],[TA]])</f>
        <v>5664.4037499999995</v>
      </c>
      <c r="R368" s="4">
        <f>Employee_Data[[#This Row],[Basic Salary]]*12.5%</f>
        <v>587.59375</v>
      </c>
      <c r="S368" s="2">
        <f>Employee_Data[[#This Row],[Annual Salary]]/12</f>
        <v>4700.75</v>
      </c>
    </row>
    <row r="369" spans="1:19" x14ac:dyDescent="0.3">
      <c r="A369" t="s">
        <v>816</v>
      </c>
      <c r="B369" t="s">
        <v>817</v>
      </c>
      <c r="C369" t="s">
        <v>83</v>
      </c>
      <c r="D369" t="s">
        <v>30</v>
      </c>
      <c r="E369" t="s">
        <v>36</v>
      </c>
      <c r="F369" t="s">
        <v>42</v>
      </c>
      <c r="G369" t="s">
        <v>24</v>
      </c>
      <c r="H369">
        <v>39</v>
      </c>
      <c r="I369" s="1">
        <v>40961</v>
      </c>
      <c r="J369" s="2">
        <v>122058</v>
      </c>
      <c r="K369" s="3">
        <v>0.14000000000000001</v>
      </c>
      <c r="L369" t="s">
        <v>37</v>
      </c>
      <c r="M369" t="s">
        <v>111</v>
      </c>
      <c r="N369" s="2">
        <f>Employee_Data[[#This Row],[Basic Salary]]*10%</f>
        <v>1017.1500000000001</v>
      </c>
      <c r="O369" s="4">
        <f>Employee_Data[[#This Row],[Basic Salary]]*7.5%</f>
        <v>762.86249999999995</v>
      </c>
      <c r="P369" s="2">
        <f>Employee_Data[[#This Row],[Basic Salary]]*3%</f>
        <v>305.14499999999998</v>
      </c>
      <c r="Q369" s="2">
        <f>SUM(Employee_Data[[#This Row],[Basic Salary]],Employee_Data[[#This Row],[HRA]],Employee_Data[[#This Row],[MA]],Employee_Data[[#This Row],[TA]])</f>
        <v>12256.657499999999</v>
      </c>
      <c r="R369" s="4">
        <f>Employee_Data[[#This Row],[Basic Salary]]*12.5%</f>
        <v>1271.4375</v>
      </c>
      <c r="S369" s="2">
        <f>Employee_Data[[#This Row],[Annual Salary]]/12</f>
        <v>10171.5</v>
      </c>
    </row>
    <row r="370" spans="1:19" x14ac:dyDescent="0.3">
      <c r="A370" t="s">
        <v>818</v>
      </c>
      <c r="B370" t="s">
        <v>819</v>
      </c>
      <c r="C370" t="s">
        <v>54</v>
      </c>
      <c r="D370" t="s">
        <v>30</v>
      </c>
      <c r="E370" t="s">
        <v>22</v>
      </c>
      <c r="F370" t="s">
        <v>42</v>
      </c>
      <c r="G370" t="s">
        <v>43</v>
      </c>
      <c r="H370">
        <v>55</v>
      </c>
      <c r="I370" s="1">
        <v>35883</v>
      </c>
      <c r="J370" s="2">
        <v>82550</v>
      </c>
      <c r="K370" s="3">
        <v>0</v>
      </c>
      <c r="L370" t="s">
        <v>25</v>
      </c>
      <c r="M370" t="s">
        <v>32</v>
      </c>
      <c r="N370" s="2">
        <f>Employee_Data[[#This Row],[Basic Salary]]*10%</f>
        <v>687.91666666666674</v>
      </c>
      <c r="O370" s="4">
        <f>Employee_Data[[#This Row],[Basic Salary]]*7.5%</f>
        <v>515.9375</v>
      </c>
      <c r="P370" s="2">
        <f>Employee_Data[[#This Row],[Basic Salary]]*3%</f>
        <v>206.375</v>
      </c>
      <c r="Q370" s="2">
        <f>SUM(Employee_Data[[#This Row],[Basic Salary]],Employee_Data[[#This Row],[HRA]],Employee_Data[[#This Row],[MA]],Employee_Data[[#This Row],[TA]])</f>
        <v>8289.3958333333339</v>
      </c>
      <c r="R370" s="4">
        <f>Employee_Data[[#This Row],[Basic Salary]]*12.5%</f>
        <v>859.89583333333337</v>
      </c>
      <c r="S370" s="2">
        <f>Employee_Data[[#This Row],[Annual Salary]]/12</f>
        <v>6879.166666666667</v>
      </c>
    </row>
    <row r="371" spans="1:19" x14ac:dyDescent="0.3">
      <c r="A371" t="s">
        <v>820</v>
      </c>
      <c r="B371" t="s">
        <v>821</v>
      </c>
      <c r="C371" t="s">
        <v>65</v>
      </c>
      <c r="D371" t="s">
        <v>4</v>
      </c>
      <c r="E371" t="s">
        <v>22</v>
      </c>
      <c r="F371" t="s">
        <v>23</v>
      </c>
      <c r="G371" t="s">
        <v>24</v>
      </c>
      <c r="H371">
        <v>34</v>
      </c>
      <c r="I371" s="1">
        <v>41167</v>
      </c>
      <c r="J371" s="2">
        <v>93760</v>
      </c>
      <c r="K371" s="3">
        <v>0</v>
      </c>
      <c r="L371" t="s">
        <v>25</v>
      </c>
      <c r="M371" t="s">
        <v>70</v>
      </c>
      <c r="N371" s="2">
        <f>Employee_Data[[#This Row],[Basic Salary]]*10%</f>
        <v>781.33333333333337</v>
      </c>
      <c r="O371" s="4">
        <f>Employee_Data[[#This Row],[Basic Salary]]*7.5%</f>
        <v>586</v>
      </c>
      <c r="P371" s="2">
        <f>Employee_Data[[#This Row],[Basic Salary]]*3%</f>
        <v>234.39999999999998</v>
      </c>
      <c r="Q371" s="2">
        <f>SUM(Employee_Data[[#This Row],[Basic Salary]],Employee_Data[[#This Row],[HRA]],Employee_Data[[#This Row],[MA]],Employee_Data[[#This Row],[TA]])</f>
        <v>9415.0666666666657</v>
      </c>
      <c r="R371" s="4">
        <f>Employee_Data[[#This Row],[Basic Salary]]*12.5%</f>
        <v>976.66666666666663</v>
      </c>
      <c r="S371" s="2">
        <f>Employee_Data[[#This Row],[Annual Salary]]/12</f>
        <v>7813.333333333333</v>
      </c>
    </row>
    <row r="372" spans="1:19" x14ac:dyDescent="0.3">
      <c r="A372" t="s">
        <v>822</v>
      </c>
      <c r="B372" t="s">
        <v>823</v>
      </c>
      <c r="C372" t="s">
        <v>29</v>
      </c>
      <c r="D372" t="s">
        <v>30</v>
      </c>
      <c r="E372" t="s">
        <v>36</v>
      </c>
      <c r="F372" t="s">
        <v>42</v>
      </c>
      <c r="G372" t="s">
        <v>84</v>
      </c>
      <c r="H372">
        <v>56</v>
      </c>
      <c r="I372" s="1">
        <v>41079</v>
      </c>
      <c r="J372" s="2">
        <v>55008</v>
      </c>
      <c r="K372" s="3">
        <v>0</v>
      </c>
      <c r="L372" t="s">
        <v>25</v>
      </c>
      <c r="M372" t="s">
        <v>48</v>
      </c>
      <c r="N372" s="2">
        <f>Employee_Data[[#This Row],[Basic Salary]]*10%</f>
        <v>458.40000000000003</v>
      </c>
      <c r="O372" s="4">
        <f>Employee_Data[[#This Row],[Basic Salary]]*7.5%</f>
        <v>343.8</v>
      </c>
      <c r="P372" s="2">
        <f>Employee_Data[[#This Row],[Basic Salary]]*3%</f>
        <v>137.51999999999998</v>
      </c>
      <c r="Q372" s="2">
        <f>SUM(Employee_Data[[#This Row],[Basic Salary]],Employee_Data[[#This Row],[HRA]],Employee_Data[[#This Row],[MA]],Employee_Data[[#This Row],[TA]])</f>
        <v>5523.7199999999993</v>
      </c>
      <c r="R372" s="4">
        <f>Employee_Data[[#This Row],[Basic Salary]]*12.5%</f>
        <v>573</v>
      </c>
      <c r="S372" s="2">
        <f>Employee_Data[[#This Row],[Annual Salary]]/12</f>
        <v>4584</v>
      </c>
    </row>
    <row r="373" spans="1:19" x14ac:dyDescent="0.3">
      <c r="A373" t="s">
        <v>824</v>
      </c>
      <c r="B373" t="s">
        <v>825</v>
      </c>
      <c r="C373" t="s">
        <v>60</v>
      </c>
      <c r="D373" t="s">
        <v>80</v>
      </c>
      <c r="E373" t="s">
        <v>36</v>
      </c>
      <c r="F373" t="s">
        <v>23</v>
      </c>
      <c r="G373" t="s">
        <v>43</v>
      </c>
      <c r="H373">
        <v>56</v>
      </c>
      <c r="I373" s="1">
        <v>41180</v>
      </c>
      <c r="J373" s="2">
        <v>65368</v>
      </c>
      <c r="K373" s="3">
        <v>0</v>
      </c>
      <c r="L373" t="s">
        <v>25</v>
      </c>
      <c r="M373" t="s">
        <v>44</v>
      </c>
      <c r="N373" s="2">
        <f>Employee_Data[[#This Row],[Basic Salary]]*10%</f>
        <v>544.73333333333335</v>
      </c>
      <c r="O373" s="4">
        <f>Employee_Data[[#This Row],[Basic Salary]]*7.5%</f>
        <v>408.54999999999995</v>
      </c>
      <c r="P373" s="2">
        <f>Employee_Data[[#This Row],[Basic Salary]]*3%</f>
        <v>163.41999999999999</v>
      </c>
      <c r="Q373" s="2">
        <f>SUM(Employee_Data[[#This Row],[Basic Salary]],Employee_Data[[#This Row],[HRA]],Employee_Data[[#This Row],[MA]],Employee_Data[[#This Row],[TA]])</f>
        <v>6564.0366666666669</v>
      </c>
      <c r="R373" s="4">
        <f>Employee_Data[[#This Row],[Basic Salary]]*12.5%</f>
        <v>680.91666666666663</v>
      </c>
      <c r="S373" s="2">
        <f>Employee_Data[[#This Row],[Annual Salary]]/12</f>
        <v>5447.333333333333</v>
      </c>
    </row>
    <row r="374" spans="1:19" x14ac:dyDescent="0.3">
      <c r="A374" t="s">
        <v>826</v>
      </c>
      <c r="B374" t="s">
        <v>827</v>
      </c>
      <c r="C374" t="s">
        <v>134</v>
      </c>
      <c r="D374" t="s">
        <v>21</v>
      </c>
      <c r="E374" t="s">
        <v>36</v>
      </c>
      <c r="F374" t="s">
        <v>23</v>
      </c>
      <c r="G374" t="s">
        <v>24</v>
      </c>
      <c r="H374">
        <v>62</v>
      </c>
      <c r="I374" s="1">
        <v>42845</v>
      </c>
      <c r="J374" s="2">
        <v>83955</v>
      </c>
      <c r="K374" s="3">
        <v>0</v>
      </c>
      <c r="L374" t="s">
        <v>25</v>
      </c>
      <c r="M374" t="s">
        <v>51</v>
      </c>
      <c r="N374" s="2">
        <f>Employee_Data[[#This Row],[Basic Salary]]*10%</f>
        <v>699.625</v>
      </c>
      <c r="O374" s="4">
        <f>Employee_Data[[#This Row],[Basic Salary]]*7.5%</f>
        <v>524.71875</v>
      </c>
      <c r="P374" s="2">
        <f>Employee_Data[[#This Row],[Basic Salary]]*3%</f>
        <v>209.88749999999999</v>
      </c>
      <c r="Q374" s="2">
        <f>SUM(Employee_Data[[#This Row],[Basic Salary]],Employee_Data[[#This Row],[HRA]],Employee_Data[[#This Row],[MA]],Employee_Data[[#This Row],[TA]])</f>
        <v>8430.4812500000007</v>
      </c>
      <c r="R374" s="4">
        <f>Employee_Data[[#This Row],[Basic Salary]]*12.5%</f>
        <v>874.53125</v>
      </c>
      <c r="S374" s="2">
        <f>Employee_Data[[#This Row],[Annual Salary]]/12</f>
        <v>6996.25</v>
      </c>
    </row>
    <row r="375" spans="1:19" x14ac:dyDescent="0.3">
      <c r="A375" t="s">
        <v>828</v>
      </c>
      <c r="B375" t="s">
        <v>829</v>
      </c>
      <c r="C375" t="s">
        <v>89</v>
      </c>
      <c r="D375" t="s">
        <v>80</v>
      </c>
      <c r="E375" t="s">
        <v>56</v>
      </c>
      <c r="F375" t="s">
        <v>42</v>
      </c>
      <c r="G375" t="s">
        <v>43</v>
      </c>
      <c r="H375">
        <v>60</v>
      </c>
      <c r="I375" s="1">
        <v>35788</v>
      </c>
      <c r="J375" s="2">
        <v>231907</v>
      </c>
      <c r="K375" s="3">
        <v>0.38</v>
      </c>
      <c r="L375" t="s">
        <v>25</v>
      </c>
      <c r="M375" t="s">
        <v>48</v>
      </c>
      <c r="N375" s="2">
        <f>Employee_Data[[#This Row],[Basic Salary]]*10%</f>
        <v>1932.5583333333334</v>
      </c>
      <c r="O375" s="4">
        <f>Employee_Data[[#This Row],[Basic Salary]]*7.5%</f>
        <v>1449.4187499999998</v>
      </c>
      <c r="P375" s="2">
        <f>Employee_Data[[#This Row],[Basic Salary]]*3%</f>
        <v>579.76749999999993</v>
      </c>
      <c r="Q375" s="2">
        <f>SUM(Employee_Data[[#This Row],[Basic Salary]],Employee_Data[[#This Row],[HRA]],Employee_Data[[#This Row],[MA]],Employee_Data[[#This Row],[TA]])</f>
        <v>23287.327916666669</v>
      </c>
      <c r="R375" s="4">
        <f>Employee_Data[[#This Row],[Basic Salary]]*12.5%</f>
        <v>2415.6979166666665</v>
      </c>
      <c r="S375" s="2">
        <f>Employee_Data[[#This Row],[Annual Salary]]/12</f>
        <v>19325.583333333332</v>
      </c>
    </row>
    <row r="376" spans="1:19" x14ac:dyDescent="0.3">
      <c r="A376" t="s">
        <v>830</v>
      </c>
      <c r="B376" t="s">
        <v>831</v>
      </c>
      <c r="C376" t="s">
        <v>41</v>
      </c>
      <c r="D376" t="s">
        <v>4</v>
      </c>
      <c r="E376" t="s">
        <v>22</v>
      </c>
      <c r="F376" t="s">
        <v>23</v>
      </c>
      <c r="G376" t="s">
        <v>66</v>
      </c>
      <c r="H376">
        <v>42</v>
      </c>
      <c r="I376" s="1">
        <v>40072</v>
      </c>
      <c r="J376" s="2">
        <v>97628</v>
      </c>
      <c r="K376" s="3">
        <v>0</v>
      </c>
      <c r="L376" t="s">
        <v>25</v>
      </c>
      <c r="M376" t="s">
        <v>51</v>
      </c>
      <c r="N376" s="2">
        <f>Employee_Data[[#This Row],[Basic Salary]]*10%</f>
        <v>813.56666666666672</v>
      </c>
      <c r="O376" s="4">
        <f>Employee_Data[[#This Row],[Basic Salary]]*7.5%</f>
        <v>610.17499999999995</v>
      </c>
      <c r="P376" s="2">
        <f>Employee_Data[[#This Row],[Basic Salary]]*3%</f>
        <v>244.07</v>
      </c>
      <c r="Q376" s="2">
        <f>SUM(Employee_Data[[#This Row],[Basic Salary]],Employee_Data[[#This Row],[HRA]],Employee_Data[[#This Row],[MA]],Employee_Data[[#This Row],[TA]])</f>
        <v>9803.4783333333326</v>
      </c>
      <c r="R376" s="4">
        <f>Employee_Data[[#This Row],[Basic Salary]]*12.5%</f>
        <v>1016.9583333333334</v>
      </c>
      <c r="S376" s="2">
        <f>Employee_Data[[#This Row],[Annual Salary]]/12</f>
        <v>8135.666666666667</v>
      </c>
    </row>
    <row r="377" spans="1:19" x14ac:dyDescent="0.3">
      <c r="A377" t="s">
        <v>832</v>
      </c>
      <c r="B377" t="s">
        <v>833</v>
      </c>
      <c r="C377" t="s">
        <v>41</v>
      </c>
      <c r="D377" t="s">
        <v>4</v>
      </c>
      <c r="E377" t="s">
        <v>22</v>
      </c>
      <c r="F377" t="s">
        <v>23</v>
      </c>
      <c r="G377" t="s">
        <v>43</v>
      </c>
      <c r="H377">
        <v>27</v>
      </c>
      <c r="I377" s="1">
        <v>44096</v>
      </c>
      <c r="J377" s="2">
        <v>88142</v>
      </c>
      <c r="K377" s="3">
        <v>0</v>
      </c>
      <c r="L377" t="s">
        <v>25</v>
      </c>
      <c r="M377" t="s">
        <v>26</v>
      </c>
      <c r="N377" s="2">
        <f>Employee_Data[[#This Row],[Basic Salary]]*10%</f>
        <v>734.51666666666677</v>
      </c>
      <c r="O377" s="4">
        <f>Employee_Data[[#This Row],[Basic Salary]]*7.5%</f>
        <v>550.88750000000005</v>
      </c>
      <c r="P377" s="2">
        <f>Employee_Data[[#This Row],[Basic Salary]]*3%</f>
        <v>220.35499999999999</v>
      </c>
      <c r="Q377" s="2">
        <f>SUM(Employee_Data[[#This Row],[Basic Salary]],Employee_Data[[#This Row],[HRA]],Employee_Data[[#This Row],[MA]],Employee_Data[[#This Row],[TA]])</f>
        <v>8850.9258333333328</v>
      </c>
      <c r="R377" s="4">
        <f>Employee_Data[[#This Row],[Basic Salary]]*12.5%</f>
        <v>918.14583333333337</v>
      </c>
      <c r="S377" s="2">
        <f>Employee_Data[[#This Row],[Annual Salary]]/12</f>
        <v>7345.166666666667</v>
      </c>
    </row>
    <row r="378" spans="1:19" x14ac:dyDescent="0.3">
      <c r="A378" t="s">
        <v>834</v>
      </c>
      <c r="B378" t="s">
        <v>835</v>
      </c>
      <c r="C378" t="s">
        <v>134</v>
      </c>
      <c r="D378" t="s">
        <v>21</v>
      </c>
      <c r="E378" t="s">
        <v>31</v>
      </c>
      <c r="F378" t="s">
        <v>42</v>
      </c>
      <c r="G378" t="s">
        <v>24</v>
      </c>
      <c r="H378">
        <v>37</v>
      </c>
      <c r="I378" s="1">
        <v>43892</v>
      </c>
      <c r="J378" s="2">
        <v>83465</v>
      </c>
      <c r="K378" s="3">
        <v>0</v>
      </c>
      <c r="L378" t="s">
        <v>37</v>
      </c>
      <c r="M378" t="s">
        <v>111</v>
      </c>
      <c r="N378" s="2">
        <f>Employee_Data[[#This Row],[Basic Salary]]*10%</f>
        <v>695.54166666666674</v>
      </c>
      <c r="O378" s="4">
        <f>Employee_Data[[#This Row],[Basic Salary]]*7.5%</f>
        <v>521.65625</v>
      </c>
      <c r="P378" s="2">
        <f>Employee_Data[[#This Row],[Basic Salary]]*3%</f>
        <v>208.66249999999999</v>
      </c>
      <c r="Q378" s="2">
        <f>SUM(Employee_Data[[#This Row],[Basic Salary]],Employee_Data[[#This Row],[HRA]],Employee_Data[[#This Row],[MA]],Employee_Data[[#This Row],[TA]])</f>
        <v>8381.2770833333343</v>
      </c>
      <c r="R378" s="4">
        <f>Employee_Data[[#This Row],[Basic Salary]]*12.5%</f>
        <v>869.42708333333337</v>
      </c>
      <c r="S378" s="2">
        <f>Employee_Data[[#This Row],[Annual Salary]]/12</f>
        <v>6955.416666666667</v>
      </c>
    </row>
    <row r="379" spans="1:19" x14ac:dyDescent="0.3">
      <c r="A379" t="s">
        <v>836</v>
      </c>
      <c r="B379" t="s">
        <v>837</v>
      </c>
      <c r="C379" t="s">
        <v>47</v>
      </c>
      <c r="D379" t="s">
        <v>4</v>
      </c>
      <c r="E379" t="s">
        <v>22</v>
      </c>
      <c r="F379" t="s">
        <v>23</v>
      </c>
      <c r="G379" t="s">
        <v>43</v>
      </c>
      <c r="H379">
        <v>29</v>
      </c>
      <c r="I379" s="1">
        <v>44570</v>
      </c>
      <c r="J379" s="2">
        <v>197731</v>
      </c>
      <c r="K379" s="3">
        <v>0.15</v>
      </c>
      <c r="L379" t="s">
        <v>25</v>
      </c>
      <c r="M379" t="s">
        <v>44</v>
      </c>
      <c r="N379" s="2">
        <f>Employee_Data[[#This Row],[Basic Salary]]*10%</f>
        <v>1647.7583333333332</v>
      </c>
      <c r="O379" s="4">
        <f>Employee_Data[[#This Row],[Basic Salary]]*7.5%</f>
        <v>1235.8187499999999</v>
      </c>
      <c r="P379" s="2">
        <f>Employee_Data[[#This Row],[Basic Salary]]*3%</f>
        <v>494.32749999999993</v>
      </c>
      <c r="Q379" s="2">
        <f>SUM(Employee_Data[[#This Row],[Basic Salary]],Employee_Data[[#This Row],[HRA]],Employee_Data[[#This Row],[MA]],Employee_Data[[#This Row],[TA]])</f>
        <v>19855.487916666665</v>
      </c>
      <c r="R379" s="4">
        <f>Employee_Data[[#This Row],[Basic Salary]]*12.5%</f>
        <v>2059.6979166666665</v>
      </c>
      <c r="S379" s="2">
        <f>Employee_Data[[#This Row],[Annual Salary]]/12</f>
        <v>16477.583333333332</v>
      </c>
    </row>
    <row r="380" spans="1:19" x14ac:dyDescent="0.3">
      <c r="A380" t="s">
        <v>838</v>
      </c>
      <c r="B380" t="s">
        <v>839</v>
      </c>
      <c r="C380" t="s">
        <v>83</v>
      </c>
      <c r="D380" t="s">
        <v>55</v>
      </c>
      <c r="E380" t="s">
        <v>36</v>
      </c>
      <c r="F380" t="s">
        <v>23</v>
      </c>
      <c r="G380" t="s">
        <v>24</v>
      </c>
      <c r="H380">
        <v>32</v>
      </c>
      <c r="I380" s="1">
        <v>41988</v>
      </c>
      <c r="J380" s="2">
        <v>151758</v>
      </c>
      <c r="K380" s="3">
        <v>0.12</v>
      </c>
      <c r="L380" t="s">
        <v>37</v>
      </c>
      <c r="M380" t="s">
        <v>111</v>
      </c>
      <c r="N380" s="2">
        <f>Employee_Data[[#This Row],[Basic Salary]]*10%</f>
        <v>1264.6500000000001</v>
      </c>
      <c r="O380" s="4">
        <f>Employee_Data[[#This Row],[Basic Salary]]*7.5%</f>
        <v>948.48749999999995</v>
      </c>
      <c r="P380" s="2">
        <f>Employee_Data[[#This Row],[Basic Salary]]*3%</f>
        <v>379.39499999999998</v>
      </c>
      <c r="Q380" s="2">
        <f>SUM(Employee_Data[[#This Row],[Basic Salary]],Employee_Data[[#This Row],[HRA]],Employee_Data[[#This Row],[MA]],Employee_Data[[#This Row],[TA]])</f>
        <v>15239.032499999999</v>
      </c>
      <c r="R380" s="4">
        <f>Employee_Data[[#This Row],[Basic Salary]]*12.5%</f>
        <v>1580.8125</v>
      </c>
      <c r="S380" s="2">
        <f>Employee_Data[[#This Row],[Annual Salary]]/12</f>
        <v>12646.5</v>
      </c>
    </row>
    <row r="381" spans="1:19" x14ac:dyDescent="0.3">
      <c r="A381" t="s">
        <v>840</v>
      </c>
      <c r="B381" t="s">
        <v>841</v>
      </c>
      <c r="C381" t="s">
        <v>47</v>
      </c>
      <c r="D381" t="s">
        <v>61</v>
      </c>
      <c r="E381" t="s">
        <v>36</v>
      </c>
      <c r="F381" t="s">
        <v>23</v>
      </c>
      <c r="G381" t="s">
        <v>24</v>
      </c>
      <c r="H381">
        <v>33</v>
      </c>
      <c r="I381" s="1">
        <v>41525</v>
      </c>
      <c r="J381" s="2">
        <v>164340</v>
      </c>
      <c r="K381" s="3">
        <v>0.15</v>
      </c>
      <c r="L381" t="s">
        <v>25</v>
      </c>
      <c r="M381" t="s">
        <v>32</v>
      </c>
      <c r="N381" s="2">
        <f>Employee_Data[[#This Row],[Basic Salary]]*10%</f>
        <v>1369.5</v>
      </c>
      <c r="O381" s="4">
        <f>Employee_Data[[#This Row],[Basic Salary]]*7.5%</f>
        <v>1027.125</v>
      </c>
      <c r="P381" s="2">
        <f>Employee_Data[[#This Row],[Basic Salary]]*3%</f>
        <v>410.84999999999997</v>
      </c>
      <c r="Q381" s="2">
        <f>SUM(Employee_Data[[#This Row],[Basic Salary]],Employee_Data[[#This Row],[HRA]],Employee_Data[[#This Row],[MA]],Employee_Data[[#This Row],[TA]])</f>
        <v>16502.474999999999</v>
      </c>
      <c r="R381" s="4">
        <f>Employee_Data[[#This Row],[Basic Salary]]*12.5%</f>
        <v>1711.875</v>
      </c>
      <c r="S381" s="2">
        <f>Employee_Data[[#This Row],[Annual Salary]]/12</f>
        <v>13695</v>
      </c>
    </row>
    <row r="382" spans="1:19" x14ac:dyDescent="0.3">
      <c r="A382" t="s">
        <v>842</v>
      </c>
      <c r="B382" t="s">
        <v>843</v>
      </c>
      <c r="C382" t="s">
        <v>20</v>
      </c>
      <c r="D382" t="s">
        <v>21</v>
      </c>
      <c r="E382" t="s">
        <v>56</v>
      </c>
      <c r="F382" t="s">
        <v>42</v>
      </c>
      <c r="G382" t="s">
        <v>43</v>
      </c>
      <c r="H382">
        <v>42</v>
      </c>
      <c r="I382" s="1">
        <v>38802</v>
      </c>
      <c r="J382" s="2">
        <v>104916</v>
      </c>
      <c r="K382" s="3">
        <v>0</v>
      </c>
      <c r="L382" t="s">
        <v>137</v>
      </c>
      <c r="M382" t="s">
        <v>289</v>
      </c>
      <c r="N382" s="2">
        <f>Employee_Data[[#This Row],[Basic Salary]]*10%</f>
        <v>874.30000000000007</v>
      </c>
      <c r="O382" s="4">
        <f>Employee_Data[[#This Row],[Basic Salary]]*7.5%</f>
        <v>655.72500000000002</v>
      </c>
      <c r="P382" s="2">
        <f>Employee_Data[[#This Row],[Basic Salary]]*3%</f>
        <v>262.28999999999996</v>
      </c>
      <c r="Q382" s="2">
        <f>SUM(Employee_Data[[#This Row],[Basic Salary]],Employee_Data[[#This Row],[HRA]],Employee_Data[[#This Row],[MA]],Employee_Data[[#This Row],[TA]])</f>
        <v>10535.314999999999</v>
      </c>
      <c r="R382" s="4">
        <f>Employee_Data[[#This Row],[Basic Salary]]*12.5%</f>
        <v>1092.875</v>
      </c>
      <c r="S382" s="2">
        <f>Employee_Data[[#This Row],[Annual Salary]]/12</f>
        <v>8743</v>
      </c>
    </row>
    <row r="383" spans="1:19" x14ac:dyDescent="0.3">
      <c r="A383" t="s">
        <v>844</v>
      </c>
      <c r="B383" t="s">
        <v>845</v>
      </c>
      <c r="C383" t="s">
        <v>29</v>
      </c>
      <c r="D383" t="s">
        <v>61</v>
      </c>
      <c r="E383" t="s">
        <v>56</v>
      </c>
      <c r="F383" t="s">
        <v>23</v>
      </c>
      <c r="G383" t="s">
        <v>24</v>
      </c>
      <c r="H383">
        <v>60</v>
      </c>
      <c r="I383" s="1">
        <v>35452</v>
      </c>
      <c r="J383" s="2">
        <v>42536</v>
      </c>
      <c r="K383" s="3">
        <v>0</v>
      </c>
      <c r="L383" t="s">
        <v>25</v>
      </c>
      <c r="M383" t="s">
        <v>26</v>
      </c>
      <c r="N383" s="2">
        <f>Employee_Data[[#This Row],[Basic Salary]]*10%</f>
        <v>354.4666666666667</v>
      </c>
      <c r="O383" s="4">
        <f>Employee_Data[[#This Row],[Basic Salary]]*7.5%</f>
        <v>265.84999999999997</v>
      </c>
      <c r="P383" s="2">
        <f>Employee_Data[[#This Row],[Basic Salary]]*3%</f>
        <v>106.33999999999999</v>
      </c>
      <c r="Q383" s="2">
        <f>SUM(Employee_Data[[#This Row],[Basic Salary]],Employee_Data[[#This Row],[HRA]],Employee_Data[[#This Row],[MA]],Employee_Data[[#This Row],[TA]])</f>
        <v>4271.3233333333337</v>
      </c>
      <c r="R383" s="4">
        <f>Employee_Data[[#This Row],[Basic Salary]]*12.5%</f>
        <v>443.08333333333331</v>
      </c>
      <c r="S383" s="2">
        <f>Employee_Data[[#This Row],[Annual Salary]]/12</f>
        <v>3544.6666666666665</v>
      </c>
    </row>
    <row r="384" spans="1:19" x14ac:dyDescent="0.3">
      <c r="A384" t="s">
        <v>846</v>
      </c>
      <c r="B384" t="s">
        <v>847</v>
      </c>
      <c r="C384" t="s">
        <v>89</v>
      </c>
      <c r="D384" t="s">
        <v>61</v>
      </c>
      <c r="E384" t="s">
        <v>36</v>
      </c>
      <c r="F384" t="s">
        <v>42</v>
      </c>
      <c r="G384" t="s">
        <v>24</v>
      </c>
      <c r="H384">
        <v>51</v>
      </c>
      <c r="I384" s="1">
        <v>39908</v>
      </c>
      <c r="J384" s="2">
        <v>195171</v>
      </c>
      <c r="K384" s="3">
        <v>0.33</v>
      </c>
      <c r="L384" t="s">
        <v>25</v>
      </c>
      <c r="M384" t="s">
        <v>44</v>
      </c>
      <c r="N384" s="2">
        <f>Employee_Data[[#This Row],[Basic Salary]]*10%</f>
        <v>1626.4250000000002</v>
      </c>
      <c r="O384" s="4">
        <f>Employee_Data[[#This Row],[Basic Salary]]*7.5%</f>
        <v>1219.8187499999999</v>
      </c>
      <c r="P384" s="2">
        <f>Employee_Data[[#This Row],[Basic Salary]]*3%</f>
        <v>487.92750000000001</v>
      </c>
      <c r="Q384" s="2">
        <f>SUM(Employee_Data[[#This Row],[Basic Salary]],Employee_Data[[#This Row],[HRA]],Employee_Data[[#This Row],[MA]],Employee_Data[[#This Row],[TA]])</f>
        <v>19598.421249999999</v>
      </c>
      <c r="R384" s="4">
        <f>Employee_Data[[#This Row],[Basic Salary]]*12.5%</f>
        <v>2033.03125</v>
      </c>
      <c r="S384" s="2">
        <f>Employee_Data[[#This Row],[Annual Salary]]/12</f>
        <v>16264.25</v>
      </c>
    </row>
    <row r="385" spans="1:19" x14ac:dyDescent="0.3">
      <c r="A385" t="s">
        <v>848</v>
      </c>
      <c r="B385" t="s">
        <v>849</v>
      </c>
      <c r="C385" t="s">
        <v>131</v>
      </c>
      <c r="D385" t="s">
        <v>126</v>
      </c>
      <c r="E385" t="s">
        <v>22</v>
      </c>
      <c r="F385" t="s">
        <v>42</v>
      </c>
      <c r="G385" t="s">
        <v>24</v>
      </c>
      <c r="H385">
        <v>50</v>
      </c>
      <c r="I385" s="1">
        <v>43977</v>
      </c>
      <c r="J385" s="2">
        <v>45290</v>
      </c>
      <c r="K385" s="3">
        <v>0</v>
      </c>
      <c r="L385" t="s">
        <v>37</v>
      </c>
      <c r="M385" t="s">
        <v>57</v>
      </c>
      <c r="N385" s="2">
        <f>Employee_Data[[#This Row],[Basic Salary]]*10%</f>
        <v>377.41666666666669</v>
      </c>
      <c r="O385" s="4">
        <f>Employee_Data[[#This Row],[Basic Salary]]*7.5%</f>
        <v>283.0625</v>
      </c>
      <c r="P385" s="2">
        <f>Employee_Data[[#This Row],[Basic Salary]]*3%</f>
        <v>113.22499999999999</v>
      </c>
      <c r="Q385" s="2">
        <f>SUM(Employee_Data[[#This Row],[Basic Salary]],Employee_Data[[#This Row],[HRA]],Employee_Data[[#This Row],[MA]],Employee_Data[[#This Row],[TA]])</f>
        <v>4547.8708333333334</v>
      </c>
      <c r="R385" s="4">
        <f>Employee_Data[[#This Row],[Basic Salary]]*12.5%</f>
        <v>471.77083333333331</v>
      </c>
      <c r="S385" s="2">
        <f>Employee_Data[[#This Row],[Annual Salary]]/12</f>
        <v>3774.1666666666665</v>
      </c>
    </row>
    <row r="386" spans="1:19" x14ac:dyDescent="0.3">
      <c r="A386" t="s">
        <v>850</v>
      </c>
      <c r="B386" t="s">
        <v>851</v>
      </c>
      <c r="C386" t="s">
        <v>89</v>
      </c>
      <c r="D386" t="s">
        <v>61</v>
      </c>
      <c r="E386" t="s">
        <v>56</v>
      </c>
      <c r="F386" t="s">
        <v>23</v>
      </c>
      <c r="G386" t="s">
        <v>43</v>
      </c>
      <c r="H386">
        <v>50</v>
      </c>
      <c r="I386" s="1">
        <v>40158</v>
      </c>
      <c r="J386" s="2">
        <v>203306</v>
      </c>
      <c r="K386" s="3">
        <v>0.38</v>
      </c>
      <c r="L386" t="s">
        <v>25</v>
      </c>
      <c r="M386" t="s">
        <v>44</v>
      </c>
      <c r="N386" s="2">
        <f>Employee_Data[[#This Row],[Basic Salary]]*10%</f>
        <v>1694.2166666666669</v>
      </c>
      <c r="O386" s="4">
        <f>Employee_Data[[#This Row],[Basic Salary]]*7.5%</f>
        <v>1270.6625000000001</v>
      </c>
      <c r="P386" s="2">
        <f>Employee_Data[[#This Row],[Basic Salary]]*3%</f>
        <v>508.26500000000004</v>
      </c>
      <c r="Q386" s="2">
        <f>SUM(Employee_Data[[#This Row],[Basic Salary]],Employee_Data[[#This Row],[HRA]],Employee_Data[[#This Row],[MA]],Employee_Data[[#This Row],[TA]])</f>
        <v>20415.310833333333</v>
      </c>
      <c r="R386" s="4">
        <f>Employee_Data[[#This Row],[Basic Salary]]*12.5%</f>
        <v>2117.7708333333335</v>
      </c>
      <c r="S386" s="2">
        <f>Employee_Data[[#This Row],[Annual Salary]]/12</f>
        <v>16942.166666666668</v>
      </c>
    </row>
    <row r="387" spans="1:19" x14ac:dyDescent="0.3">
      <c r="A387" t="s">
        <v>852</v>
      </c>
      <c r="B387" t="s">
        <v>853</v>
      </c>
      <c r="C387" t="s">
        <v>60</v>
      </c>
      <c r="D387" t="s">
        <v>30</v>
      </c>
      <c r="E387" t="s">
        <v>56</v>
      </c>
      <c r="F387" t="s">
        <v>23</v>
      </c>
      <c r="G387" t="s">
        <v>43</v>
      </c>
      <c r="H387">
        <v>26</v>
      </c>
      <c r="I387" s="1">
        <v>44728</v>
      </c>
      <c r="J387" s="2">
        <v>66865</v>
      </c>
      <c r="K387" s="3">
        <v>0</v>
      </c>
      <c r="L387" t="s">
        <v>137</v>
      </c>
      <c r="M387" t="s">
        <v>138</v>
      </c>
      <c r="N387" s="2">
        <f>Employee_Data[[#This Row],[Basic Salary]]*10%</f>
        <v>557.20833333333337</v>
      </c>
      <c r="O387" s="4">
        <f>Employee_Data[[#This Row],[Basic Salary]]*7.5%</f>
        <v>417.90624999999994</v>
      </c>
      <c r="P387" s="2">
        <f>Employee_Data[[#This Row],[Basic Salary]]*3%</f>
        <v>167.16249999999999</v>
      </c>
      <c r="Q387" s="2">
        <f>SUM(Employee_Data[[#This Row],[Basic Salary]],Employee_Data[[#This Row],[HRA]],Employee_Data[[#This Row],[MA]],Employee_Data[[#This Row],[TA]])</f>
        <v>6714.3604166666664</v>
      </c>
      <c r="R387" s="4">
        <f>Employee_Data[[#This Row],[Basic Salary]]*12.5%</f>
        <v>696.51041666666663</v>
      </c>
      <c r="S387" s="2">
        <f>Employee_Data[[#This Row],[Annual Salary]]/12</f>
        <v>5572.083333333333</v>
      </c>
    </row>
    <row r="388" spans="1:19" x14ac:dyDescent="0.3">
      <c r="A388" t="s">
        <v>854</v>
      </c>
      <c r="B388" t="s">
        <v>855</v>
      </c>
      <c r="C388" t="s">
        <v>380</v>
      </c>
      <c r="D388" t="s">
        <v>4</v>
      </c>
      <c r="E388" t="s">
        <v>31</v>
      </c>
      <c r="F388" t="s">
        <v>23</v>
      </c>
      <c r="G388" t="s">
        <v>24</v>
      </c>
      <c r="H388">
        <v>30</v>
      </c>
      <c r="I388" s="1">
        <v>44851</v>
      </c>
      <c r="J388" s="2">
        <v>89164</v>
      </c>
      <c r="K388" s="3">
        <v>0</v>
      </c>
      <c r="L388" t="s">
        <v>25</v>
      </c>
      <c r="M388" t="s">
        <v>51</v>
      </c>
      <c r="N388" s="2">
        <f>Employee_Data[[#This Row],[Basic Salary]]*10%</f>
        <v>743.0333333333333</v>
      </c>
      <c r="O388" s="4">
        <f>Employee_Data[[#This Row],[Basic Salary]]*7.5%</f>
        <v>557.27499999999998</v>
      </c>
      <c r="P388" s="2">
        <f>Employee_Data[[#This Row],[Basic Salary]]*3%</f>
        <v>222.91</v>
      </c>
      <c r="Q388" s="2">
        <f>SUM(Employee_Data[[#This Row],[Basic Salary]],Employee_Data[[#This Row],[HRA]],Employee_Data[[#This Row],[MA]],Employee_Data[[#This Row],[TA]])</f>
        <v>8953.5516666666663</v>
      </c>
      <c r="R388" s="4">
        <f>Employee_Data[[#This Row],[Basic Salary]]*12.5%</f>
        <v>928.79166666666663</v>
      </c>
      <c r="S388" s="2">
        <f>Employee_Data[[#This Row],[Annual Salary]]/12</f>
        <v>7430.333333333333</v>
      </c>
    </row>
    <row r="389" spans="1:19" x14ac:dyDescent="0.3">
      <c r="A389" t="s">
        <v>856</v>
      </c>
      <c r="B389" t="s">
        <v>857</v>
      </c>
      <c r="C389" t="s">
        <v>54</v>
      </c>
      <c r="D389" t="s">
        <v>30</v>
      </c>
      <c r="E389" t="s">
        <v>22</v>
      </c>
      <c r="F389" t="s">
        <v>42</v>
      </c>
      <c r="G389" t="s">
        <v>24</v>
      </c>
      <c r="H389">
        <v>35</v>
      </c>
      <c r="I389" s="1">
        <v>44497</v>
      </c>
      <c r="J389" s="2">
        <v>75602</v>
      </c>
      <c r="K389" s="3">
        <v>0</v>
      </c>
      <c r="L389" t="s">
        <v>25</v>
      </c>
      <c r="M389" t="s">
        <v>70</v>
      </c>
      <c r="N389" s="2">
        <f>Employee_Data[[#This Row],[Basic Salary]]*10%</f>
        <v>630.01666666666677</v>
      </c>
      <c r="O389" s="4">
        <f>Employee_Data[[#This Row],[Basic Salary]]*7.5%</f>
        <v>472.51249999999999</v>
      </c>
      <c r="P389" s="2">
        <f>Employee_Data[[#This Row],[Basic Salary]]*3%</f>
        <v>189.005</v>
      </c>
      <c r="Q389" s="2">
        <f>SUM(Employee_Data[[#This Row],[Basic Salary]],Employee_Data[[#This Row],[HRA]],Employee_Data[[#This Row],[MA]],Employee_Data[[#This Row],[TA]])</f>
        <v>7591.7008333333333</v>
      </c>
      <c r="R389" s="4">
        <f>Employee_Data[[#This Row],[Basic Salary]]*12.5%</f>
        <v>787.52083333333337</v>
      </c>
      <c r="S389" s="2">
        <f>Employee_Data[[#This Row],[Annual Salary]]/12</f>
        <v>6300.166666666667</v>
      </c>
    </row>
    <row r="390" spans="1:19" x14ac:dyDescent="0.3">
      <c r="A390" t="s">
        <v>858</v>
      </c>
      <c r="B390" t="s">
        <v>859</v>
      </c>
      <c r="C390" t="s">
        <v>35</v>
      </c>
      <c r="D390" t="s">
        <v>4</v>
      </c>
      <c r="E390" t="s">
        <v>56</v>
      </c>
      <c r="F390" t="s">
        <v>23</v>
      </c>
      <c r="G390" t="s">
        <v>66</v>
      </c>
      <c r="H390">
        <v>44</v>
      </c>
      <c r="I390" s="1">
        <v>44240</v>
      </c>
      <c r="J390" s="2">
        <v>92939</v>
      </c>
      <c r="K390" s="3">
        <v>0</v>
      </c>
      <c r="L390" t="s">
        <v>25</v>
      </c>
      <c r="M390" t="s">
        <v>48</v>
      </c>
      <c r="N390" s="2">
        <f>Employee_Data[[#This Row],[Basic Salary]]*10%</f>
        <v>774.49166666666679</v>
      </c>
      <c r="O390" s="4">
        <f>Employee_Data[[#This Row],[Basic Salary]]*7.5%</f>
        <v>580.86874999999998</v>
      </c>
      <c r="P390" s="2">
        <f>Employee_Data[[#This Row],[Basic Salary]]*3%</f>
        <v>232.3475</v>
      </c>
      <c r="Q390" s="2">
        <f>SUM(Employee_Data[[#This Row],[Basic Salary]],Employee_Data[[#This Row],[HRA]],Employee_Data[[#This Row],[MA]],Employee_Data[[#This Row],[TA]])</f>
        <v>9332.6245833333323</v>
      </c>
      <c r="R390" s="4">
        <f>Employee_Data[[#This Row],[Basic Salary]]*12.5%</f>
        <v>968.11458333333337</v>
      </c>
      <c r="S390" s="2">
        <f>Employee_Data[[#This Row],[Annual Salary]]/12</f>
        <v>7744.916666666667</v>
      </c>
    </row>
    <row r="391" spans="1:19" x14ac:dyDescent="0.3">
      <c r="A391" t="s">
        <v>860</v>
      </c>
      <c r="B391" t="s">
        <v>861</v>
      </c>
      <c r="C391" t="s">
        <v>60</v>
      </c>
      <c r="D391" t="s">
        <v>80</v>
      </c>
      <c r="E391" t="s">
        <v>56</v>
      </c>
      <c r="F391" t="s">
        <v>42</v>
      </c>
      <c r="G391" t="s">
        <v>84</v>
      </c>
      <c r="H391">
        <v>26</v>
      </c>
      <c r="I391" s="1">
        <v>43979</v>
      </c>
      <c r="J391" s="2">
        <v>64278</v>
      </c>
      <c r="K391" s="3">
        <v>0</v>
      </c>
      <c r="L391" t="s">
        <v>25</v>
      </c>
      <c r="M391" t="s">
        <v>26</v>
      </c>
      <c r="N391" s="2">
        <f>Employee_Data[[#This Row],[Basic Salary]]*10%</f>
        <v>535.65</v>
      </c>
      <c r="O391" s="4">
        <f>Employee_Data[[#This Row],[Basic Salary]]*7.5%</f>
        <v>401.73750000000001</v>
      </c>
      <c r="P391" s="2">
        <f>Employee_Data[[#This Row],[Basic Salary]]*3%</f>
        <v>160.69499999999999</v>
      </c>
      <c r="Q391" s="2">
        <f>SUM(Employee_Data[[#This Row],[Basic Salary]],Employee_Data[[#This Row],[HRA]],Employee_Data[[#This Row],[MA]],Employee_Data[[#This Row],[TA]])</f>
        <v>6454.5824999999995</v>
      </c>
      <c r="R391" s="4">
        <f>Employee_Data[[#This Row],[Basic Salary]]*12.5%</f>
        <v>669.5625</v>
      </c>
      <c r="S391" s="2">
        <f>Employee_Data[[#This Row],[Annual Salary]]/12</f>
        <v>5356.5</v>
      </c>
    </row>
    <row r="392" spans="1:19" x14ac:dyDescent="0.3">
      <c r="A392" t="s">
        <v>862</v>
      </c>
      <c r="B392" t="s">
        <v>863</v>
      </c>
      <c r="C392" t="s">
        <v>227</v>
      </c>
      <c r="D392" t="s">
        <v>4</v>
      </c>
      <c r="E392" t="s">
        <v>36</v>
      </c>
      <c r="F392" t="s">
        <v>42</v>
      </c>
      <c r="G392" t="s">
        <v>43</v>
      </c>
      <c r="H392">
        <v>44</v>
      </c>
      <c r="I392" s="1">
        <v>41551</v>
      </c>
      <c r="J392" s="2">
        <v>72176</v>
      </c>
      <c r="K392" s="3">
        <v>0</v>
      </c>
      <c r="L392" t="s">
        <v>137</v>
      </c>
      <c r="M392" t="s">
        <v>138</v>
      </c>
      <c r="N392" s="2">
        <f>Employee_Data[[#This Row],[Basic Salary]]*10%</f>
        <v>601.4666666666667</v>
      </c>
      <c r="O392" s="4">
        <f>Employee_Data[[#This Row],[Basic Salary]]*7.5%</f>
        <v>451.1</v>
      </c>
      <c r="P392" s="2">
        <f>Employee_Data[[#This Row],[Basic Salary]]*3%</f>
        <v>180.44</v>
      </c>
      <c r="Q392" s="2">
        <f>SUM(Employee_Data[[#This Row],[Basic Salary]],Employee_Data[[#This Row],[HRA]],Employee_Data[[#This Row],[MA]],Employee_Data[[#This Row],[TA]])</f>
        <v>7247.6733333333332</v>
      </c>
      <c r="R392" s="4">
        <f>Employee_Data[[#This Row],[Basic Salary]]*12.5%</f>
        <v>751.83333333333337</v>
      </c>
      <c r="S392" s="2">
        <f>Employee_Data[[#This Row],[Annual Salary]]/12</f>
        <v>6014.666666666667</v>
      </c>
    </row>
    <row r="393" spans="1:19" x14ac:dyDescent="0.3">
      <c r="A393" t="s">
        <v>864</v>
      </c>
      <c r="B393" t="s">
        <v>865</v>
      </c>
      <c r="C393" t="s">
        <v>180</v>
      </c>
      <c r="D393" t="s">
        <v>4</v>
      </c>
      <c r="E393" t="s">
        <v>31</v>
      </c>
      <c r="F393" t="s">
        <v>42</v>
      </c>
      <c r="G393" t="s">
        <v>66</v>
      </c>
      <c r="H393">
        <v>61</v>
      </c>
      <c r="I393" s="1">
        <v>40214</v>
      </c>
      <c r="J393" s="2">
        <v>87758</v>
      </c>
      <c r="K393" s="3">
        <v>0.09</v>
      </c>
      <c r="L393" t="s">
        <v>25</v>
      </c>
      <c r="M393" t="s">
        <v>44</v>
      </c>
      <c r="N393" s="2">
        <f>Employee_Data[[#This Row],[Basic Salary]]*10%</f>
        <v>731.31666666666672</v>
      </c>
      <c r="O393" s="4">
        <f>Employee_Data[[#This Row],[Basic Salary]]*7.5%</f>
        <v>548.48749999999995</v>
      </c>
      <c r="P393" s="2">
        <f>Employee_Data[[#This Row],[Basic Salary]]*3%</f>
        <v>219.39500000000001</v>
      </c>
      <c r="Q393" s="2">
        <f>SUM(Employee_Data[[#This Row],[Basic Salary]],Employee_Data[[#This Row],[HRA]],Employee_Data[[#This Row],[MA]],Employee_Data[[#This Row],[TA]])</f>
        <v>8812.3658333333333</v>
      </c>
      <c r="R393" s="4">
        <f>Employee_Data[[#This Row],[Basic Salary]]*12.5%</f>
        <v>914.14583333333337</v>
      </c>
      <c r="S393" s="2">
        <f>Employee_Data[[#This Row],[Annual Salary]]/12</f>
        <v>7313.166666666667</v>
      </c>
    </row>
    <row r="394" spans="1:19" x14ac:dyDescent="0.3">
      <c r="A394" t="s">
        <v>866</v>
      </c>
      <c r="B394" t="s">
        <v>867</v>
      </c>
      <c r="C394" t="s">
        <v>60</v>
      </c>
      <c r="D394" t="s">
        <v>55</v>
      </c>
      <c r="E394" t="s">
        <v>31</v>
      </c>
      <c r="F394" t="s">
        <v>23</v>
      </c>
      <c r="G394" t="s">
        <v>24</v>
      </c>
      <c r="H394">
        <v>50</v>
      </c>
      <c r="I394" s="1">
        <v>37408</v>
      </c>
      <c r="J394" s="2">
        <v>54646</v>
      </c>
      <c r="K394" s="3">
        <v>0</v>
      </c>
      <c r="L394" t="s">
        <v>25</v>
      </c>
      <c r="M394" t="s">
        <v>44</v>
      </c>
      <c r="N394" s="2">
        <f>Employee_Data[[#This Row],[Basic Salary]]*10%</f>
        <v>455.38333333333333</v>
      </c>
      <c r="O394" s="4">
        <f>Employee_Data[[#This Row],[Basic Salary]]*7.5%</f>
        <v>341.53749999999997</v>
      </c>
      <c r="P394" s="2">
        <f>Employee_Data[[#This Row],[Basic Salary]]*3%</f>
        <v>136.61499999999998</v>
      </c>
      <c r="Q394" s="2">
        <f>SUM(Employee_Data[[#This Row],[Basic Salary]],Employee_Data[[#This Row],[HRA]],Employee_Data[[#This Row],[MA]],Employee_Data[[#This Row],[TA]])</f>
        <v>5487.3691666666664</v>
      </c>
      <c r="R394" s="4">
        <f>Employee_Data[[#This Row],[Basic Salary]]*12.5%</f>
        <v>569.22916666666663</v>
      </c>
      <c r="S394" s="2">
        <f>Employee_Data[[#This Row],[Annual Salary]]/12</f>
        <v>4553.833333333333</v>
      </c>
    </row>
    <row r="395" spans="1:19" x14ac:dyDescent="0.3">
      <c r="A395" t="s">
        <v>868</v>
      </c>
      <c r="B395" t="s">
        <v>869</v>
      </c>
      <c r="C395" t="s">
        <v>247</v>
      </c>
      <c r="D395" t="s">
        <v>126</v>
      </c>
      <c r="E395" t="s">
        <v>31</v>
      </c>
      <c r="F395" t="s">
        <v>23</v>
      </c>
      <c r="G395" t="s">
        <v>43</v>
      </c>
      <c r="H395">
        <v>61</v>
      </c>
      <c r="I395" s="1">
        <v>40569</v>
      </c>
      <c r="J395" s="2">
        <v>73323</v>
      </c>
      <c r="K395" s="3">
        <v>0</v>
      </c>
      <c r="L395" t="s">
        <v>25</v>
      </c>
      <c r="M395" t="s">
        <v>48</v>
      </c>
      <c r="N395" s="2">
        <f>Employee_Data[[#This Row],[Basic Salary]]*10%</f>
        <v>611.02499999999998</v>
      </c>
      <c r="O395" s="4">
        <f>Employee_Data[[#This Row],[Basic Salary]]*7.5%</f>
        <v>458.26875000000001</v>
      </c>
      <c r="P395" s="2">
        <f>Employee_Data[[#This Row],[Basic Salary]]*3%</f>
        <v>183.3075</v>
      </c>
      <c r="Q395" s="2">
        <f>SUM(Employee_Data[[#This Row],[Basic Salary]],Employee_Data[[#This Row],[HRA]],Employee_Data[[#This Row],[MA]],Employee_Data[[#This Row],[TA]])</f>
        <v>7362.8512499999997</v>
      </c>
      <c r="R395" s="4">
        <f>Employee_Data[[#This Row],[Basic Salary]]*12.5%</f>
        <v>763.78125</v>
      </c>
      <c r="S395" s="2">
        <f>Employee_Data[[#This Row],[Annual Salary]]/12</f>
        <v>6110.25</v>
      </c>
    </row>
    <row r="396" spans="1:19" x14ac:dyDescent="0.3">
      <c r="A396" t="s">
        <v>870</v>
      </c>
      <c r="B396" t="s">
        <v>871</v>
      </c>
      <c r="C396" t="s">
        <v>47</v>
      </c>
      <c r="D396" t="s">
        <v>80</v>
      </c>
      <c r="E396" t="s">
        <v>56</v>
      </c>
      <c r="F396" t="s">
        <v>42</v>
      </c>
      <c r="G396" t="s">
        <v>66</v>
      </c>
      <c r="H396">
        <v>29</v>
      </c>
      <c r="I396" s="1">
        <v>44203</v>
      </c>
      <c r="J396" s="2">
        <v>151492</v>
      </c>
      <c r="K396" s="3">
        <v>0.21</v>
      </c>
      <c r="L396" t="s">
        <v>25</v>
      </c>
      <c r="M396" t="s">
        <v>26</v>
      </c>
      <c r="N396" s="2">
        <f>Employee_Data[[#This Row],[Basic Salary]]*10%</f>
        <v>1262.4333333333334</v>
      </c>
      <c r="O396" s="4">
        <f>Employee_Data[[#This Row],[Basic Salary]]*7.5%</f>
        <v>946.82500000000005</v>
      </c>
      <c r="P396" s="2">
        <f>Employee_Data[[#This Row],[Basic Salary]]*3%</f>
        <v>378.73</v>
      </c>
      <c r="Q396" s="2">
        <f>SUM(Employee_Data[[#This Row],[Basic Salary]],Employee_Data[[#This Row],[HRA]],Employee_Data[[#This Row],[MA]],Employee_Data[[#This Row],[TA]])</f>
        <v>15212.321666666667</v>
      </c>
      <c r="R396" s="4">
        <f>Employee_Data[[#This Row],[Basic Salary]]*12.5%</f>
        <v>1578.0416666666667</v>
      </c>
      <c r="S396" s="2">
        <f>Employee_Data[[#This Row],[Annual Salary]]/12</f>
        <v>12624.333333333334</v>
      </c>
    </row>
    <row r="397" spans="1:19" x14ac:dyDescent="0.3">
      <c r="A397" t="s">
        <v>872</v>
      </c>
      <c r="B397" t="s">
        <v>873</v>
      </c>
      <c r="C397" t="s">
        <v>83</v>
      </c>
      <c r="D397" t="s">
        <v>61</v>
      </c>
      <c r="E397" t="s">
        <v>31</v>
      </c>
      <c r="F397" t="s">
        <v>23</v>
      </c>
      <c r="G397" t="s">
        <v>43</v>
      </c>
      <c r="H397">
        <v>42</v>
      </c>
      <c r="I397" s="1">
        <v>38712</v>
      </c>
      <c r="J397" s="2">
        <v>138215</v>
      </c>
      <c r="K397" s="3">
        <v>0.12</v>
      </c>
      <c r="L397" t="s">
        <v>137</v>
      </c>
      <c r="M397" t="s">
        <v>289</v>
      </c>
      <c r="N397" s="2">
        <f>Employee_Data[[#This Row],[Basic Salary]]*10%</f>
        <v>1151.7916666666667</v>
      </c>
      <c r="O397" s="4">
        <f>Employee_Data[[#This Row],[Basic Salary]]*7.5%</f>
        <v>863.84374999999989</v>
      </c>
      <c r="P397" s="2">
        <f>Employee_Data[[#This Row],[Basic Salary]]*3%</f>
        <v>345.53749999999997</v>
      </c>
      <c r="Q397" s="2">
        <f>SUM(Employee_Data[[#This Row],[Basic Salary]],Employee_Data[[#This Row],[HRA]],Employee_Data[[#This Row],[MA]],Employee_Data[[#This Row],[TA]])</f>
        <v>13879.089583333332</v>
      </c>
      <c r="R397" s="4">
        <f>Employee_Data[[#This Row],[Basic Salary]]*12.5%</f>
        <v>1439.7395833333333</v>
      </c>
      <c r="S397" s="2">
        <f>Employee_Data[[#This Row],[Annual Salary]]/12</f>
        <v>11517.916666666666</v>
      </c>
    </row>
    <row r="398" spans="1:19" x14ac:dyDescent="0.3">
      <c r="A398" t="s">
        <v>874</v>
      </c>
      <c r="B398" t="s">
        <v>875</v>
      </c>
      <c r="C398" t="s">
        <v>83</v>
      </c>
      <c r="D398" t="s">
        <v>61</v>
      </c>
      <c r="E398" t="s">
        <v>56</v>
      </c>
      <c r="F398" t="s">
        <v>42</v>
      </c>
      <c r="G398" t="s">
        <v>84</v>
      </c>
      <c r="H398">
        <v>51</v>
      </c>
      <c r="I398" s="1">
        <v>41458</v>
      </c>
      <c r="J398" s="2">
        <v>135578</v>
      </c>
      <c r="K398" s="3">
        <v>0.1</v>
      </c>
      <c r="L398" t="s">
        <v>25</v>
      </c>
      <c r="M398" t="s">
        <v>70</v>
      </c>
      <c r="N398" s="2">
        <f>Employee_Data[[#This Row],[Basic Salary]]*10%</f>
        <v>1129.8166666666666</v>
      </c>
      <c r="O398" s="4">
        <f>Employee_Data[[#This Row],[Basic Salary]]*7.5%</f>
        <v>847.36249999999995</v>
      </c>
      <c r="P398" s="2">
        <f>Employee_Data[[#This Row],[Basic Salary]]*3%</f>
        <v>338.94499999999999</v>
      </c>
      <c r="Q398" s="2">
        <f>SUM(Employee_Data[[#This Row],[Basic Salary]],Employee_Data[[#This Row],[HRA]],Employee_Data[[#This Row],[MA]],Employee_Data[[#This Row],[TA]])</f>
        <v>13614.290833333333</v>
      </c>
      <c r="R398" s="4">
        <f>Employee_Data[[#This Row],[Basic Salary]]*12.5%</f>
        <v>1412.2708333333333</v>
      </c>
      <c r="S398" s="2">
        <f>Employee_Data[[#This Row],[Annual Salary]]/12</f>
        <v>11298.166666666666</v>
      </c>
    </row>
    <row r="399" spans="1:19" x14ac:dyDescent="0.3">
      <c r="A399" t="s">
        <v>876</v>
      </c>
      <c r="B399" t="s">
        <v>877</v>
      </c>
      <c r="C399" t="s">
        <v>134</v>
      </c>
      <c r="D399" t="s">
        <v>21</v>
      </c>
      <c r="E399" t="s">
        <v>36</v>
      </c>
      <c r="F399" t="s">
        <v>42</v>
      </c>
      <c r="G399" t="s">
        <v>43</v>
      </c>
      <c r="H399">
        <v>27</v>
      </c>
      <c r="I399" s="1">
        <v>43801</v>
      </c>
      <c r="J399" s="2">
        <v>64297</v>
      </c>
      <c r="K399" s="3">
        <v>0</v>
      </c>
      <c r="L399" t="s">
        <v>137</v>
      </c>
      <c r="M399" t="s">
        <v>289</v>
      </c>
      <c r="N399" s="2">
        <f>Employee_Data[[#This Row],[Basic Salary]]*10%</f>
        <v>535.80833333333328</v>
      </c>
      <c r="O399" s="4">
        <f>Employee_Data[[#This Row],[Basic Salary]]*7.5%</f>
        <v>401.85624999999999</v>
      </c>
      <c r="P399" s="2">
        <f>Employee_Data[[#This Row],[Basic Salary]]*3%</f>
        <v>160.74249999999998</v>
      </c>
      <c r="Q399" s="2">
        <f>SUM(Employee_Data[[#This Row],[Basic Salary]],Employee_Data[[#This Row],[HRA]],Employee_Data[[#This Row],[MA]],Employee_Data[[#This Row],[TA]])</f>
        <v>6456.4904166666665</v>
      </c>
      <c r="R399" s="4">
        <f>Employee_Data[[#This Row],[Basic Salary]]*12.5%</f>
        <v>669.76041666666663</v>
      </c>
      <c r="S399" s="2">
        <f>Employee_Data[[#This Row],[Annual Salary]]/12</f>
        <v>5358.083333333333</v>
      </c>
    </row>
    <row r="400" spans="1:19" x14ac:dyDescent="0.3">
      <c r="A400" t="s">
        <v>878</v>
      </c>
      <c r="B400" t="s">
        <v>879</v>
      </c>
      <c r="C400" t="s">
        <v>408</v>
      </c>
      <c r="D400" t="s">
        <v>21</v>
      </c>
      <c r="E400" t="s">
        <v>31</v>
      </c>
      <c r="F400" t="s">
        <v>23</v>
      </c>
      <c r="G400" t="s">
        <v>66</v>
      </c>
      <c r="H400">
        <v>52</v>
      </c>
      <c r="I400" s="1">
        <v>44375</v>
      </c>
      <c r="J400" s="2">
        <v>94857</v>
      </c>
      <c r="K400" s="3">
        <v>0</v>
      </c>
      <c r="L400" t="s">
        <v>25</v>
      </c>
      <c r="M400" t="s">
        <v>70</v>
      </c>
      <c r="N400" s="2">
        <f>Employee_Data[[#This Row],[Basic Salary]]*10%</f>
        <v>790.47500000000002</v>
      </c>
      <c r="O400" s="4">
        <f>Employee_Data[[#This Row],[Basic Salary]]*7.5%</f>
        <v>592.85624999999993</v>
      </c>
      <c r="P400" s="2">
        <f>Employee_Data[[#This Row],[Basic Salary]]*3%</f>
        <v>237.14249999999998</v>
      </c>
      <c r="Q400" s="2">
        <f>SUM(Employee_Data[[#This Row],[Basic Salary]],Employee_Data[[#This Row],[HRA]],Employee_Data[[#This Row],[MA]],Employee_Data[[#This Row],[TA]])</f>
        <v>9525.223750000001</v>
      </c>
      <c r="R400" s="4">
        <f>Employee_Data[[#This Row],[Basic Salary]]*12.5%</f>
        <v>988.09375</v>
      </c>
      <c r="S400" s="2">
        <f>Employee_Data[[#This Row],[Annual Salary]]/12</f>
        <v>7904.75</v>
      </c>
    </row>
    <row r="401" spans="1:19" x14ac:dyDescent="0.3">
      <c r="A401" t="s">
        <v>880</v>
      </c>
      <c r="B401" t="s">
        <v>881</v>
      </c>
      <c r="C401" t="s">
        <v>408</v>
      </c>
      <c r="D401" t="s">
        <v>21</v>
      </c>
      <c r="E401" t="s">
        <v>36</v>
      </c>
      <c r="F401" t="s">
        <v>23</v>
      </c>
      <c r="G401" t="s">
        <v>24</v>
      </c>
      <c r="H401">
        <v>58</v>
      </c>
      <c r="I401" s="1">
        <v>40110</v>
      </c>
      <c r="J401" s="2">
        <v>77196</v>
      </c>
      <c r="K401" s="3">
        <v>0</v>
      </c>
      <c r="L401" t="s">
        <v>25</v>
      </c>
      <c r="M401" t="s">
        <v>48</v>
      </c>
      <c r="N401" s="2">
        <f>Employee_Data[[#This Row],[Basic Salary]]*10%</f>
        <v>643.30000000000007</v>
      </c>
      <c r="O401" s="4">
        <f>Employee_Data[[#This Row],[Basic Salary]]*7.5%</f>
        <v>482.47499999999997</v>
      </c>
      <c r="P401" s="2">
        <f>Employee_Data[[#This Row],[Basic Salary]]*3%</f>
        <v>192.98999999999998</v>
      </c>
      <c r="Q401" s="2">
        <f>SUM(Employee_Data[[#This Row],[Basic Salary]],Employee_Data[[#This Row],[HRA]],Employee_Data[[#This Row],[MA]],Employee_Data[[#This Row],[TA]])</f>
        <v>7751.7650000000003</v>
      </c>
      <c r="R401" s="4">
        <f>Employee_Data[[#This Row],[Basic Salary]]*12.5%</f>
        <v>804.125</v>
      </c>
      <c r="S401" s="2">
        <f>Employee_Data[[#This Row],[Annual Salary]]/12</f>
        <v>6433</v>
      </c>
    </row>
    <row r="402" spans="1:19" x14ac:dyDescent="0.3">
      <c r="A402" t="s">
        <v>882</v>
      </c>
      <c r="B402" t="s">
        <v>883</v>
      </c>
      <c r="C402" t="s">
        <v>47</v>
      </c>
      <c r="D402" t="s">
        <v>30</v>
      </c>
      <c r="E402" t="s">
        <v>36</v>
      </c>
      <c r="F402" t="s">
        <v>42</v>
      </c>
      <c r="G402" t="s">
        <v>43</v>
      </c>
      <c r="H402">
        <v>45</v>
      </c>
      <c r="I402" s="1">
        <v>37615</v>
      </c>
      <c r="J402" s="2">
        <v>193154</v>
      </c>
      <c r="K402" s="3">
        <v>0.18</v>
      </c>
      <c r="L402" t="s">
        <v>137</v>
      </c>
      <c r="M402" t="s">
        <v>183</v>
      </c>
      <c r="N402" s="2">
        <f>Employee_Data[[#This Row],[Basic Salary]]*10%</f>
        <v>1609.6166666666668</v>
      </c>
      <c r="O402" s="4">
        <f>Employee_Data[[#This Row],[Basic Salary]]*7.5%</f>
        <v>1207.2124999999999</v>
      </c>
      <c r="P402" s="2">
        <f>Employee_Data[[#This Row],[Basic Salary]]*3%</f>
        <v>482.88499999999999</v>
      </c>
      <c r="Q402" s="2">
        <f>SUM(Employee_Data[[#This Row],[Basic Salary]],Employee_Data[[#This Row],[HRA]],Employee_Data[[#This Row],[MA]],Employee_Data[[#This Row],[TA]])</f>
        <v>19395.880833333333</v>
      </c>
      <c r="R402" s="4">
        <f>Employee_Data[[#This Row],[Basic Salary]]*12.5%</f>
        <v>2012.0208333333333</v>
      </c>
      <c r="S402" s="2">
        <f>Employee_Data[[#This Row],[Annual Salary]]/12</f>
        <v>16096.166666666666</v>
      </c>
    </row>
    <row r="403" spans="1:19" x14ac:dyDescent="0.3">
      <c r="A403" t="s">
        <v>884</v>
      </c>
      <c r="B403" t="s">
        <v>885</v>
      </c>
      <c r="C403" t="s">
        <v>69</v>
      </c>
      <c r="D403" t="s">
        <v>126</v>
      </c>
      <c r="E403" t="s">
        <v>56</v>
      </c>
      <c r="F403" t="s">
        <v>23</v>
      </c>
      <c r="G403" t="s">
        <v>84</v>
      </c>
      <c r="H403">
        <v>28</v>
      </c>
      <c r="I403" s="1">
        <v>43828</v>
      </c>
      <c r="J403" s="2">
        <v>115916</v>
      </c>
      <c r="K403" s="3">
        <v>0.09</v>
      </c>
      <c r="L403" t="s">
        <v>25</v>
      </c>
      <c r="M403" t="s">
        <v>32</v>
      </c>
      <c r="N403" s="2">
        <f>Employee_Data[[#This Row],[Basic Salary]]*10%</f>
        <v>965.9666666666667</v>
      </c>
      <c r="O403" s="4">
        <f>Employee_Data[[#This Row],[Basic Salary]]*7.5%</f>
        <v>724.47499999999991</v>
      </c>
      <c r="P403" s="2">
        <f>Employee_Data[[#This Row],[Basic Salary]]*3%</f>
        <v>289.78999999999996</v>
      </c>
      <c r="Q403" s="2">
        <f>SUM(Employee_Data[[#This Row],[Basic Salary]],Employee_Data[[#This Row],[HRA]],Employee_Data[[#This Row],[MA]],Employee_Data[[#This Row],[TA]])</f>
        <v>11639.898333333334</v>
      </c>
      <c r="R403" s="4">
        <f>Employee_Data[[#This Row],[Basic Salary]]*12.5%</f>
        <v>1207.4583333333333</v>
      </c>
      <c r="S403" s="2">
        <f>Employee_Data[[#This Row],[Annual Salary]]/12</f>
        <v>9659.6666666666661</v>
      </c>
    </row>
    <row r="404" spans="1:19" x14ac:dyDescent="0.3">
      <c r="A404" t="s">
        <v>886</v>
      </c>
      <c r="B404" t="s">
        <v>887</v>
      </c>
      <c r="C404" t="s">
        <v>89</v>
      </c>
      <c r="D404" t="s">
        <v>55</v>
      </c>
      <c r="E404" t="s">
        <v>22</v>
      </c>
      <c r="F404" t="s">
        <v>23</v>
      </c>
      <c r="G404" t="s">
        <v>66</v>
      </c>
      <c r="H404">
        <v>56</v>
      </c>
      <c r="I404" s="1">
        <v>42449</v>
      </c>
      <c r="J404" s="2">
        <v>192374</v>
      </c>
      <c r="K404" s="3">
        <v>0.3</v>
      </c>
      <c r="L404" t="s">
        <v>25</v>
      </c>
      <c r="M404" t="s">
        <v>32</v>
      </c>
      <c r="N404" s="2">
        <f>Employee_Data[[#This Row],[Basic Salary]]*10%</f>
        <v>1603.1166666666668</v>
      </c>
      <c r="O404" s="4">
        <f>Employee_Data[[#This Row],[Basic Salary]]*7.5%</f>
        <v>1202.3374999999999</v>
      </c>
      <c r="P404" s="2">
        <f>Employee_Data[[#This Row],[Basic Salary]]*3%</f>
        <v>480.93499999999995</v>
      </c>
      <c r="Q404" s="2">
        <f>SUM(Employee_Data[[#This Row],[Basic Salary]],Employee_Data[[#This Row],[HRA]],Employee_Data[[#This Row],[MA]],Employee_Data[[#This Row],[TA]])</f>
        <v>19317.555833333336</v>
      </c>
      <c r="R404" s="4">
        <f>Employee_Data[[#This Row],[Basic Salary]]*12.5%</f>
        <v>2003.8958333333333</v>
      </c>
      <c r="S404" s="2">
        <f>Employee_Data[[#This Row],[Annual Salary]]/12</f>
        <v>16031.166666666666</v>
      </c>
    </row>
    <row r="405" spans="1:19" x14ac:dyDescent="0.3">
      <c r="A405" t="s">
        <v>888</v>
      </c>
      <c r="B405" t="s">
        <v>889</v>
      </c>
      <c r="C405" t="s">
        <v>47</v>
      </c>
      <c r="D405" t="s">
        <v>126</v>
      </c>
      <c r="E405" t="s">
        <v>56</v>
      </c>
      <c r="F405" t="s">
        <v>23</v>
      </c>
      <c r="G405" t="s">
        <v>66</v>
      </c>
      <c r="H405">
        <v>32</v>
      </c>
      <c r="I405" s="1">
        <v>43661</v>
      </c>
      <c r="J405" s="2">
        <v>186869</v>
      </c>
      <c r="K405" s="3">
        <v>0.16</v>
      </c>
      <c r="L405" t="s">
        <v>25</v>
      </c>
      <c r="M405" t="s">
        <v>70</v>
      </c>
      <c r="N405" s="2">
        <f>Employee_Data[[#This Row],[Basic Salary]]*10%</f>
        <v>1557.2416666666668</v>
      </c>
      <c r="O405" s="4">
        <f>Employee_Data[[#This Row],[Basic Salary]]*7.5%</f>
        <v>1167.9312499999999</v>
      </c>
      <c r="P405" s="2">
        <f>Employee_Data[[#This Row],[Basic Salary]]*3%</f>
        <v>467.17249999999996</v>
      </c>
      <c r="Q405" s="2">
        <f>SUM(Employee_Data[[#This Row],[Basic Salary]],Employee_Data[[#This Row],[HRA]],Employee_Data[[#This Row],[MA]],Employee_Data[[#This Row],[TA]])</f>
        <v>18764.762083333335</v>
      </c>
      <c r="R405" s="4">
        <f>Employee_Data[[#This Row],[Basic Salary]]*12.5%</f>
        <v>1946.5520833333333</v>
      </c>
      <c r="S405" s="2">
        <f>Employee_Data[[#This Row],[Annual Salary]]/12</f>
        <v>15572.416666666666</v>
      </c>
    </row>
    <row r="406" spans="1:19" x14ac:dyDescent="0.3">
      <c r="A406" t="s">
        <v>890</v>
      </c>
      <c r="B406" t="s">
        <v>891</v>
      </c>
      <c r="C406" t="s">
        <v>131</v>
      </c>
      <c r="D406" t="s">
        <v>126</v>
      </c>
      <c r="E406" t="s">
        <v>22</v>
      </c>
      <c r="F406" t="s">
        <v>42</v>
      </c>
      <c r="G406" t="s">
        <v>43</v>
      </c>
      <c r="H406">
        <v>58</v>
      </c>
      <c r="I406" s="1">
        <v>34100</v>
      </c>
      <c r="J406" s="2">
        <v>49293</v>
      </c>
      <c r="K406" s="3">
        <v>0</v>
      </c>
      <c r="L406" t="s">
        <v>25</v>
      </c>
      <c r="M406" t="s">
        <v>26</v>
      </c>
      <c r="N406" s="2">
        <f>Employee_Data[[#This Row],[Basic Salary]]*10%</f>
        <v>410.77500000000003</v>
      </c>
      <c r="O406" s="4">
        <f>Employee_Data[[#This Row],[Basic Salary]]*7.5%</f>
        <v>308.08125000000001</v>
      </c>
      <c r="P406" s="2">
        <f>Employee_Data[[#This Row],[Basic Salary]]*3%</f>
        <v>123.2325</v>
      </c>
      <c r="Q406" s="2">
        <f>SUM(Employee_Data[[#This Row],[Basic Salary]],Employee_Data[[#This Row],[HRA]],Employee_Data[[#This Row],[MA]],Employee_Data[[#This Row],[TA]])</f>
        <v>4949.8387499999999</v>
      </c>
      <c r="R406" s="4">
        <f>Employee_Data[[#This Row],[Basic Salary]]*12.5%</f>
        <v>513.46875</v>
      </c>
      <c r="S406" s="2">
        <f>Employee_Data[[#This Row],[Annual Salary]]/12</f>
        <v>4107.75</v>
      </c>
    </row>
    <row r="407" spans="1:19" x14ac:dyDescent="0.3">
      <c r="A407" t="s">
        <v>892</v>
      </c>
      <c r="B407" t="s">
        <v>893</v>
      </c>
      <c r="C407" t="s">
        <v>69</v>
      </c>
      <c r="D407" t="s">
        <v>126</v>
      </c>
      <c r="E407" t="s">
        <v>36</v>
      </c>
      <c r="F407" t="s">
        <v>42</v>
      </c>
      <c r="G407" t="s">
        <v>66</v>
      </c>
      <c r="H407">
        <v>39</v>
      </c>
      <c r="I407" s="1">
        <v>41377</v>
      </c>
      <c r="J407" s="2">
        <v>129087</v>
      </c>
      <c r="K407" s="3">
        <v>0.05</v>
      </c>
      <c r="L407" t="s">
        <v>25</v>
      </c>
      <c r="M407" t="s">
        <v>44</v>
      </c>
      <c r="N407" s="2">
        <f>Employee_Data[[#This Row],[Basic Salary]]*10%</f>
        <v>1075.7250000000001</v>
      </c>
      <c r="O407" s="4">
        <f>Employee_Data[[#This Row],[Basic Salary]]*7.5%</f>
        <v>806.79374999999993</v>
      </c>
      <c r="P407" s="2">
        <f>Employee_Data[[#This Row],[Basic Salary]]*3%</f>
        <v>322.71749999999997</v>
      </c>
      <c r="Q407" s="2">
        <f>SUM(Employee_Data[[#This Row],[Basic Salary]],Employee_Data[[#This Row],[HRA]],Employee_Data[[#This Row],[MA]],Employee_Data[[#This Row],[TA]])</f>
        <v>12962.486250000002</v>
      </c>
      <c r="R407" s="4">
        <f>Employee_Data[[#This Row],[Basic Salary]]*12.5%</f>
        <v>1344.65625</v>
      </c>
      <c r="S407" s="2">
        <f>Employee_Data[[#This Row],[Annual Salary]]/12</f>
        <v>10757.25</v>
      </c>
    </row>
    <row r="408" spans="1:19" x14ac:dyDescent="0.3">
      <c r="A408" t="s">
        <v>894</v>
      </c>
      <c r="B408" t="s">
        <v>895</v>
      </c>
      <c r="C408" t="s">
        <v>29</v>
      </c>
      <c r="D408" t="s">
        <v>61</v>
      </c>
      <c r="E408" t="s">
        <v>36</v>
      </c>
      <c r="F408" t="s">
        <v>42</v>
      </c>
      <c r="G408" t="s">
        <v>43</v>
      </c>
      <c r="H408">
        <v>46</v>
      </c>
      <c r="I408" s="1">
        <v>38398</v>
      </c>
      <c r="J408" s="2">
        <v>54831</v>
      </c>
      <c r="K408" s="3">
        <v>0</v>
      </c>
      <c r="L408" t="s">
        <v>137</v>
      </c>
      <c r="M408" t="s">
        <v>183</v>
      </c>
      <c r="N408" s="2">
        <f>Employee_Data[[#This Row],[Basic Salary]]*10%</f>
        <v>456.92500000000001</v>
      </c>
      <c r="O408" s="4">
        <f>Employee_Data[[#This Row],[Basic Salary]]*7.5%</f>
        <v>342.69374999999997</v>
      </c>
      <c r="P408" s="2">
        <f>Employee_Data[[#This Row],[Basic Salary]]*3%</f>
        <v>137.07749999999999</v>
      </c>
      <c r="Q408" s="2">
        <f>SUM(Employee_Data[[#This Row],[Basic Salary]],Employee_Data[[#This Row],[HRA]],Employee_Data[[#This Row],[MA]],Employee_Data[[#This Row],[TA]])</f>
        <v>5505.9462500000009</v>
      </c>
      <c r="R408" s="4">
        <f>Employee_Data[[#This Row],[Basic Salary]]*12.5%</f>
        <v>571.15625</v>
      </c>
      <c r="S408" s="2">
        <f>Employee_Data[[#This Row],[Annual Salary]]/12</f>
        <v>4569.25</v>
      </c>
    </row>
    <row r="409" spans="1:19" x14ac:dyDescent="0.3">
      <c r="A409" t="s">
        <v>896</v>
      </c>
      <c r="B409" t="s">
        <v>897</v>
      </c>
      <c r="C409" t="s">
        <v>29</v>
      </c>
      <c r="D409" t="s">
        <v>80</v>
      </c>
      <c r="E409" t="s">
        <v>56</v>
      </c>
      <c r="F409" t="s">
        <v>42</v>
      </c>
      <c r="G409" t="s">
        <v>24</v>
      </c>
      <c r="H409">
        <v>26</v>
      </c>
      <c r="I409" s="1">
        <v>44163</v>
      </c>
      <c r="J409" s="2">
        <v>51825</v>
      </c>
      <c r="K409" s="3">
        <v>0</v>
      </c>
      <c r="L409" t="s">
        <v>25</v>
      </c>
      <c r="M409" t="s">
        <v>51</v>
      </c>
      <c r="N409" s="2">
        <f>Employee_Data[[#This Row],[Basic Salary]]*10%</f>
        <v>431.875</v>
      </c>
      <c r="O409" s="4">
        <f>Employee_Data[[#This Row],[Basic Salary]]*7.5%</f>
        <v>323.90625</v>
      </c>
      <c r="P409" s="2">
        <f>Employee_Data[[#This Row],[Basic Salary]]*3%</f>
        <v>129.5625</v>
      </c>
      <c r="Q409" s="2">
        <f>SUM(Employee_Data[[#This Row],[Basic Salary]],Employee_Data[[#This Row],[HRA]],Employee_Data[[#This Row],[MA]],Employee_Data[[#This Row],[TA]])</f>
        <v>5204.09375</v>
      </c>
      <c r="R409" s="4">
        <f>Employee_Data[[#This Row],[Basic Salary]]*12.5%</f>
        <v>539.84375</v>
      </c>
      <c r="S409" s="2">
        <f>Employee_Data[[#This Row],[Annual Salary]]/12</f>
        <v>4318.75</v>
      </c>
    </row>
    <row r="410" spans="1:19" x14ac:dyDescent="0.3">
      <c r="A410" t="s">
        <v>898</v>
      </c>
      <c r="B410" t="s">
        <v>899</v>
      </c>
      <c r="C410" t="s">
        <v>292</v>
      </c>
      <c r="D410" t="s">
        <v>21</v>
      </c>
      <c r="E410" t="s">
        <v>22</v>
      </c>
      <c r="F410" t="s">
        <v>42</v>
      </c>
      <c r="G410" t="s">
        <v>24</v>
      </c>
      <c r="H410">
        <v>36</v>
      </c>
      <c r="I410" s="1">
        <v>43723</v>
      </c>
      <c r="J410" s="2">
        <v>67457</v>
      </c>
      <c r="K410" s="3">
        <v>0</v>
      </c>
      <c r="L410" t="s">
        <v>37</v>
      </c>
      <c r="M410" t="s">
        <v>38</v>
      </c>
      <c r="N410" s="2">
        <f>Employee_Data[[#This Row],[Basic Salary]]*10%</f>
        <v>562.14166666666677</v>
      </c>
      <c r="O410" s="4">
        <f>Employee_Data[[#This Row],[Basic Salary]]*7.5%</f>
        <v>421.60624999999999</v>
      </c>
      <c r="P410" s="2">
        <f>Employee_Data[[#This Row],[Basic Salary]]*3%</f>
        <v>168.64250000000001</v>
      </c>
      <c r="Q410" s="2">
        <f>SUM(Employee_Data[[#This Row],[Basic Salary]],Employee_Data[[#This Row],[HRA]],Employee_Data[[#This Row],[MA]],Employee_Data[[#This Row],[TA]])</f>
        <v>6773.8070833333331</v>
      </c>
      <c r="R410" s="4">
        <f>Employee_Data[[#This Row],[Basic Salary]]*12.5%</f>
        <v>702.67708333333337</v>
      </c>
      <c r="S410" s="2">
        <f>Employee_Data[[#This Row],[Annual Salary]]/12</f>
        <v>5621.416666666667</v>
      </c>
    </row>
    <row r="411" spans="1:19" x14ac:dyDescent="0.3">
      <c r="A411" t="s">
        <v>900</v>
      </c>
      <c r="B411" t="s">
        <v>901</v>
      </c>
      <c r="C411" t="s">
        <v>164</v>
      </c>
      <c r="D411" t="s">
        <v>4</v>
      </c>
      <c r="E411" t="s">
        <v>31</v>
      </c>
      <c r="F411" t="s">
        <v>23</v>
      </c>
      <c r="G411" t="s">
        <v>24</v>
      </c>
      <c r="H411">
        <v>43</v>
      </c>
      <c r="I411" s="1">
        <v>43736</v>
      </c>
      <c r="J411" s="2">
        <v>94555</v>
      </c>
      <c r="K411" s="3">
        <v>0</v>
      </c>
      <c r="L411" t="s">
        <v>25</v>
      </c>
      <c r="M411" t="s">
        <v>48</v>
      </c>
      <c r="N411" s="2">
        <f>Employee_Data[[#This Row],[Basic Salary]]*10%</f>
        <v>787.95833333333337</v>
      </c>
      <c r="O411" s="4">
        <f>Employee_Data[[#This Row],[Basic Salary]]*7.5%</f>
        <v>590.96875</v>
      </c>
      <c r="P411" s="2">
        <f>Employee_Data[[#This Row],[Basic Salary]]*3%</f>
        <v>236.38749999999999</v>
      </c>
      <c r="Q411" s="2">
        <f>SUM(Employee_Data[[#This Row],[Basic Salary]],Employee_Data[[#This Row],[HRA]],Employee_Data[[#This Row],[MA]],Employee_Data[[#This Row],[TA]])</f>
        <v>9494.8979166666668</v>
      </c>
      <c r="R411" s="4">
        <f>Employee_Data[[#This Row],[Basic Salary]]*12.5%</f>
        <v>984.94791666666663</v>
      </c>
      <c r="S411" s="2">
        <f>Employee_Data[[#This Row],[Annual Salary]]/12</f>
        <v>7879.583333333333</v>
      </c>
    </row>
    <row r="412" spans="1:19" x14ac:dyDescent="0.3">
      <c r="A412" t="s">
        <v>902</v>
      </c>
      <c r="B412" t="s">
        <v>903</v>
      </c>
      <c r="C412" t="s">
        <v>47</v>
      </c>
      <c r="D412" t="s">
        <v>126</v>
      </c>
      <c r="E412" t="s">
        <v>31</v>
      </c>
      <c r="F412" t="s">
        <v>42</v>
      </c>
      <c r="G412" t="s">
        <v>24</v>
      </c>
      <c r="H412">
        <v>45</v>
      </c>
      <c r="I412" s="1">
        <v>39535</v>
      </c>
      <c r="J412" s="2">
        <v>163686</v>
      </c>
      <c r="K412" s="3">
        <v>0.25</v>
      </c>
      <c r="L412" t="s">
        <v>37</v>
      </c>
      <c r="M412" t="s">
        <v>62</v>
      </c>
      <c r="N412" s="2">
        <f>Employee_Data[[#This Row],[Basic Salary]]*10%</f>
        <v>1364.0500000000002</v>
      </c>
      <c r="O412" s="4">
        <f>Employee_Data[[#This Row],[Basic Salary]]*7.5%</f>
        <v>1023.0374999999999</v>
      </c>
      <c r="P412" s="2">
        <f>Employee_Data[[#This Row],[Basic Salary]]*3%</f>
        <v>409.21499999999997</v>
      </c>
      <c r="Q412" s="2">
        <f>SUM(Employee_Data[[#This Row],[Basic Salary]],Employee_Data[[#This Row],[HRA]],Employee_Data[[#This Row],[MA]],Employee_Data[[#This Row],[TA]])</f>
        <v>16436.802499999998</v>
      </c>
      <c r="R412" s="4">
        <f>Employee_Data[[#This Row],[Basic Salary]]*12.5%</f>
        <v>1705.0625</v>
      </c>
      <c r="S412" s="2">
        <f>Employee_Data[[#This Row],[Annual Salary]]/12</f>
        <v>13640.5</v>
      </c>
    </row>
    <row r="413" spans="1:19" x14ac:dyDescent="0.3">
      <c r="A413" t="s">
        <v>904</v>
      </c>
      <c r="B413" t="s">
        <v>905</v>
      </c>
      <c r="C413" t="s">
        <v>73</v>
      </c>
      <c r="D413" t="s">
        <v>4</v>
      </c>
      <c r="E413" t="s">
        <v>31</v>
      </c>
      <c r="F413" t="s">
        <v>42</v>
      </c>
      <c r="G413" t="s">
        <v>24</v>
      </c>
      <c r="H413">
        <v>65</v>
      </c>
      <c r="I413" s="1">
        <v>37466</v>
      </c>
      <c r="J413" s="2">
        <v>47919</v>
      </c>
      <c r="K413" s="3">
        <v>0</v>
      </c>
      <c r="L413" t="s">
        <v>37</v>
      </c>
      <c r="M413" t="s">
        <v>111</v>
      </c>
      <c r="N413" s="2">
        <f>Employee_Data[[#This Row],[Basic Salary]]*10%</f>
        <v>399.32500000000005</v>
      </c>
      <c r="O413" s="4">
        <f>Employee_Data[[#This Row],[Basic Salary]]*7.5%</f>
        <v>299.49374999999998</v>
      </c>
      <c r="P413" s="2">
        <f>Employee_Data[[#This Row],[Basic Salary]]*3%</f>
        <v>119.7975</v>
      </c>
      <c r="Q413" s="2">
        <f>SUM(Employee_Data[[#This Row],[Basic Salary]],Employee_Data[[#This Row],[HRA]],Employee_Data[[#This Row],[MA]],Employee_Data[[#This Row],[TA]])</f>
        <v>4811.8662499999991</v>
      </c>
      <c r="R413" s="4">
        <f>Employee_Data[[#This Row],[Basic Salary]]*12.5%</f>
        <v>499.15625</v>
      </c>
      <c r="S413" s="2">
        <f>Employee_Data[[#This Row],[Annual Salary]]/12</f>
        <v>3993.25</v>
      </c>
    </row>
    <row r="414" spans="1:19" x14ac:dyDescent="0.3">
      <c r="A414" t="s">
        <v>906</v>
      </c>
      <c r="B414" t="s">
        <v>907</v>
      </c>
      <c r="C414" t="s">
        <v>173</v>
      </c>
      <c r="D414" t="s">
        <v>4</v>
      </c>
      <c r="E414" t="s">
        <v>22</v>
      </c>
      <c r="F414" t="s">
        <v>23</v>
      </c>
      <c r="G414" t="s">
        <v>66</v>
      </c>
      <c r="H414">
        <v>34</v>
      </c>
      <c r="I414" s="1">
        <v>44344</v>
      </c>
      <c r="J414" s="2">
        <v>68972</v>
      </c>
      <c r="K414" s="3">
        <v>0</v>
      </c>
      <c r="L414" t="s">
        <v>25</v>
      </c>
      <c r="M414" t="s">
        <v>48</v>
      </c>
      <c r="N414" s="2">
        <f>Employee_Data[[#This Row],[Basic Salary]]*10%</f>
        <v>574.76666666666677</v>
      </c>
      <c r="O414" s="4">
        <f>Employee_Data[[#This Row],[Basic Salary]]*7.5%</f>
        <v>431.07499999999999</v>
      </c>
      <c r="P414" s="2">
        <f>Employee_Data[[#This Row],[Basic Salary]]*3%</f>
        <v>172.43</v>
      </c>
      <c r="Q414" s="2">
        <f>SUM(Employee_Data[[#This Row],[Basic Salary]],Employee_Data[[#This Row],[HRA]],Employee_Data[[#This Row],[MA]],Employee_Data[[#This Row],[TA]])</f>
        <v>6925.9383333333335</v>
      </c>
      <c r="R414" s="4">
        <f>Employee_Data[[#This Row],[Basic Salary]]*12.5%</f>
        <v>718.45833333333337</v>
      </c>
      <c r="S414" s="2">
        <f>Employee_Data[[#This Row],[Annual Salary]]/12</f>
        <v>5747.666666666667</v>
      </c>
    </row>
    <row r="415" spans="1:19" x14ac:dyDescent="0.3">
      <c r="A415" t="s">
        <v>908</v>
      </c>
      <c r="B415" t="s">
        <v>909</v>
      </c>
      <c r="C415" t="s">
        <v>29</v>
      </c>
      <c r="D415" t="s">
        <v>30</v>
      </c>
      <c r="E415" t="s">
        <v>22</v>
      </c>
      <c r="F415" t="s">
        <v>23</v>
      </c>
      <c r="G415" t="s">
        <v>66</v>
      </c>
      <c r="H415">
        <v>52</v>
      </c>
      <c r="I415" s="1">
        <v>37347</v>
      </c>
      <c r="J415" s="2">
        <v>50775</v>
      </c>
      <c r="K415" s="3">
        <v>0</v>
      </c>
      <c r="L415" t="s">
        <v>25</v>
      </c>
      <c r="M415" t="s">
        <v>44</v>
      </c>
      <c r="N415" s="2">
        <f>Employee_Data[[#This Row],[Basic Salary]]*10%</f>
        <v>423.125</v>
      </c>
      <c r="O415" s="4">
        <f>Employee_Data[[#This Row],[Basic Salary]]*7.5%</f>
        <v>317.34375</v>
      </c>
      <c r="P415" s="2">
        <f>Employee_Data[[#This Row],[Basic Salary]]*3%</f>
        <v>126.9375</v>
      </c>
      <c r="Q415" s="2">
        <f>SUM(Employee_Data[[#This Row],[Basic Salary]],Employee_Data[[#This Row],[HRA]],Employee_Data[[#This Row],[MA]],Employee_Data[[#This Row],[TA]])</f>
        <v>5098.65625</v>
      </c>
      <c r="R415" s="4">
        <f>Employee_Data[[#This Row],[Basic Salary]]*12.5%</f>
        <v>528.90625</v>
      </c>
      <c r="S415" s="2">
        <f>Employee_Data[[#This Row],[Annual Salary]]/12</f>
        <v>4231.25</v>
      </c>
    </row>
    <row r="416" spans="1:19" x14ac:dyDescent="0.3">
      <c r="A416" t="s">
        <v>910</v>
      </c>
      <c r="B416" t="s">
        <v>911</v>
      </c>
      <c r="C416" t="s">
        <v>83</v>
      </c>
      <c r="D416" t="s">
        <v>80</v>
      </c>
      <c r="E416" t="s">
        <v>31</v>
      </c>
      <c r="F416" t="s">
        <v>42</v>
      </c>
      <c r="G416" t="s">
        <v>43</v>
      </c>
      <c r="H416">
        <v>39</v>
      </c>
      <c r="I416" s="1">
        <v>41317</v>
      </c>
      <c r="J416" s="2">
        <v>122713</v>
      </c>
      <c r="K416" s="3">
        <v>0.13</v>
      </c>
      <c r="L416" t="s">
        <v>137</v>
      </c>
      <c r="M416" t="s">
        <v>183</v>
      </c>
      <c r="N416" s="2">
        <f>Employee_Data[[#This Row],[Basic Salary]]*10%</f>
        <v>1022.6083333333335</v>
      </c>
      <c r="O416" s="4">
        <f>Employee_Data[[#This Row],[Basic Salary]]*7.5%</f>
        <v>766.95625000000007</v>
      </c>
      <c r="P416" s="2">
        <f>Employee_Data[[#This Row],[Basic Salary]]*3%</f>
        <v>306.78250000000003</v>
      </c>
      <c r="Q416" s="2">
        <f>SUM(Employee_Data[[#This Row],[Basic Salary]],Employee_Data[[#This Row],[HRA]],Employee_Data[[#This Row],[MA]],Employee_Data[[#This Row],[TA]])</f>
        <v>12322.430416666666</v>
      </c>
      <c r="R416" s="4">
        <f>Employee_Data[[#This Row],[Basic Salary]]*12.5%</f>
        <v>1278.2604166666667</v>
      </c>
      <c r="S416" s="2">
        <f>Employee_Data[[#This Row],[Annual Salary]]/12</f>
        <v>10226.083333333334</v>
      </c>
    </row>
    <row r="417" spans="1:19" x14ac:dyDescent="0.3">
      <c r="A417" t="s">
        <v>912</v>
      </c>
      <c r="B417" t="s">
        <v>913</v>
      </c>
      <c r="C417" t="s">
        <v>60</v>
      </c>
      <c r="D417" t="s">
        <v>55</v>
      </c>
      <c r="E417" t="s">
        <v>31</v>
      </c>
      <c r="F417" t="s">
        <v>42</v>
      </c>
      <c r="G417" t="s">
        <v>24</v>
      </c>
      <c r="H417">
        <v>57</v>
      </c>
      <c r="I417" s="1">
        <v>34102</v>
      </c>
      <c r="J417" s="2">
        <v>57230</v>
      </c>
      <c r="K417" s="3">
        <v>0</v>
      </c>
      <c r="L417" t="s">
        <v>25</v>
      </c>
      <c r="M417" t="s">
        <v>48</v>
      </c>
      <c r="N417" s="2">
        <f>Employee_Data[[#This Row],[Basic Salary]]*10%</f>
        <v>476.91666666666674</v>
      </c>
      <c r="O417" s="4">
        <f>Employee_Data[[#This Row],[Basic Salary]]*7.5%</f>
        <v>357.6875</v>
      </c>
      <c r="P417" s="2">
        <f>Employee_Data[[#This Row],[Basic Salary]]*3%</f>
        <v>143.07500000000002</v>
      </c>
      <c r="Q417" s="2">
        <f>SUM(Employee_Data[[#This Row],[Basic Salary]],Employee_Data[[#This Row],[HRA]],Employee_Data[[#This Row],[MA]],Employee_Data[[#This Row],[TA]])</f>
        <v>5746.8458333333338</v>
      </c>
      <c r="R417" s="4">
        <f>Employee_Data[[#This Row],[Basic Salary]]*12.5%</f>
        <v>596.14583333333337</v>
      </c>
      <c r="S417" s="2">
        <f>Employee_Data[[#This Row],[Annual Salary]]/12</f>
        <v>4769.166666666667</v>
      </c>
    </row>
    <row r="418" spans="1:19" x14ac:dyDescent="0.3">
      <c r="A418" t="s">
        <v>914</v>
      </c>
      <c r="B418" t="s">
        <v>915</v>
      </c>
      <c r="C418" t="s">
        <v>83</v>
      </c>
      <c r="D418" t="s">
        <v>80</v>
      </c>
      <c r="E418" t="s">
        <v>56</v>
      </c>
      <c r="F418" t="s">
        <v>23</v>
      </c>
      <c r="G418" t="s">
        <v>43</v>
      </c>
      <c r="H418">
        <v>63</v>
      </c>
      <c r="I418" s="1">
        <v>35781</v>
      </c>
      <c r="J418" s="2">
        <v>148794</v>
      </c>
      <c r="K418" s="3">
        <v>0.1</v>
      </c>
      <c r="L418" t="s">
        <v>137</v>
      </c>
      <c r="M418" t="s">
        <v>289</v>
      </c>
      <c r="N418" s="2">
        <f>Employee_Data[[#This Row],[Basic Salary]]*10%</f>
        <v>1239.95</v>
      </c>
      <c r="O418" s="4">
        <f>Employee_Data[[#This Row],[Basic Salary]]*7.5%</f>
        <v>929.96249999999998</v>
      </c>
      <c r="P418" s="2">
        <f>Employee_Data[[#This Row],[Basic Salary]]*3%</f>
        <v>371.98500000000001</v>
      </c>
      <c r="Q418" s="2">
        <f>SUM(Employee_Data[[#This Row],[Basic Salary]],Employee_Data[[#This Row],[HRA]],Employee_Data[[#This Row],[MA]],Employee_Data[[#This Row],[TA]])</f>
        <v>14941.397500000001</v>
      </c>
      <c r="R418" s="4">
        <f>Employee_Data[[#This Row],[Basic Salary]]*12.5%</f>
        <v>1549.9375</v>
      </c>
      <c r="S418" s="2">
        <f>Employee_Data[[#This Row],[Annual Salary]]/12</f>
        <v>12399.5</v>
      </c>
    </row>
    <row r="419" spans="1:19" x14ac:dyDescent="0.3">
      <c r="A419" t="s">
        <v>916</v>
      </c>
      <c r="B419" t="s">
        <v>917</v>
      </c>
      <c r="C419" t="s">
        <v>83</v>
      </c>
      <c r="D419" t="s">
        <v>80</v>
      </c>
      <c r="E419" t="s">
        <v>36</v>
      </c>
      <c r="F419" t="s">
        <v>42</v>
      </c>
      <c r="G419" t="s">
        <v>24</v>
      </c>
      <c r="H419">
        <v>32</v>
      </c>
      <c r="I419" s="1">
        <v>42727</v>
      </c>
      <c r="J419" s="2">
        <v>155884</v>
      </c>
      <c r="K419" s="3">
        <v>0.13</v>
      </c>
      <c r="L419" t="s">
        <v>25</v>
      </c>
      <c r="M419" t="s">
        <v>70</v>
      </c>
      <c r="N419" s="2">
        <f>Employee_Data[[#This Row],[Basic Salary]]*10%</f>
        <v>1299.0333333333335</v>
      </c>
      <c r="O419" s="4">
        <f>Employee_Data[[#This Row],[Basic Salary]]*7.5%</f>
        <v>974.27499999999998</v>
      </c>
      <c r="P419" s="2">
        <f>Employee_Data[[#This Row],[Basic Salary]]*3%</f>
        <v>389.71</v>
      </c>
      <c r="Q419" s="2">
        <f>SUM(Employee_Data[[#This Row],[Basic Salary]],Employee_Data[[#This Row],[HRA]],Employee_Data[[#This Row],[MA]],Employee_Data[[#This Row],[TA]])</f>
        <v>15653.351666666666</v>
      </c>
      <c r="R419" s="4">
        <f>Employee_Data[[#This Row],[Basic Salary]]*12.5%</f>
        <v>1623.7916666666667</v>
      </c>
      <c r="S419" s="2">
        <f>Employee_Data[[#This Row],[Annual Salary]]/12</f>
        <v>12990.333333333334</v>
      </c>
    </row>
    <row r="420" spans="1:19" x14ac:dyDescent="0.3">
      <c r="A420" t="s">
        <v>918</v>
      </c>
      <c r="B420" t="s">
        <v>919</v>
      </c>
      <c r="C420" t="s">
        <v>104</v>
      </c>
      <c r="D420" t="s">
        <v>30</v>
      </c>
      <c r="E420" t="s">
        <v>36</v>
      </c>
      <c r="F420" t="s">
        <v>42</v>
      </c>
      <c r="G420" t="s">
        <v>24</v>
      </c>
      <c r="H420">
        <v>51</v>
      </c>
      <c r="I420" s="1">
        <v>43378</v>
      </c>
      <c r="J420" s="2">
        <v>50975</v>
      </c>
      <c r="K420" s="3">
        <v>0</v>
      </c>
      <c r="L420" t="s">
        <v>37</v>
      </c>
      <c r="M420" t="s">
        <v>62</v>
      </c>
      <c r="N420" s="2">
        <f>Employee_Data[[#This Row],[Basic Salary]]*10%</f>
        <v>424.79166666666674</v>
      </c>
      <c r="O420" s="4">
        <f>Employee_Data[[#This Row],[Basic Salary]]*7.5%</f>
        <v>318.59375</v>
      </c>
      <c r="P420" s="2">
        <f>Employee_Data[[#This Row],[Basic Salary]]*3%</f>
        <v>127.4375</v>
      </c>
      <c r="Q420" s="2">
        <f>SUM(Employee_Data[[#This Row],[Basic Salary]],Employee_Data[[#This Row],[HRA]],Employee_Data[[#This Row],[MA]],Employee_Data[[#This Row],[TA]])</f>
        <v>5118.7395833333339</v>
      </c>
      <c r="R420" s="4">
        <f>Employee_Data[[#This Row],[Basic Salary]]*12.5%</f>
        <v>530.98958333333337</v>
      </c>
      <c r="S420" s="2">
        <f>Employee_Data[[#This Row],[Annual Salary]]/12</f>
        <v>4247.916666666667</v>
      </c>
    </row>
    <row r="421" spans="1:19" x14ac:dyDescent="0.3">
      <c r="A421" t="s">
        <v>920</v>
      </c>
      <c r="B421" t="s">
        <v>921</v>
      </c>
      <c r="C421" t="s">
        <v>29</v>
      </c>
      <c r="D421" t="s">
        <v>55</v>
      </c>
      <c r="E421" t="s">
        <v>36</v>
      </c>
      <c r="F421" t="s">
        <v>23</v>
      </c>
      <c r="G421" t="s">
        <v>84</v>
      </c>
      <c r="H421">
        <v>38</v>
      </c>
      <c r="I421" s="1">
        <v>43082</v>
      </c>
      <c r="J421" s="2">
        <v>52200</v>
      </c>
      <c r="K421" s="3">
        <v>0</v>
      </c>
      <c r="L421" t="s">
        <v>25</v>
      </c>
      <c r="M421" t="s">
        <v>51</v>
      </c>
      <c r="N421" s="2">
        <f>Employee_Data[[#This Row],[Basic Salary]]*10%</f>
        <v>435</v>
      </c>
      <c r="O421" s="4">
        <f>Employee_Data[[#This Row],[Basic Salary]]*7.5%</f>
        <v>326.25</v>
      </c>
      <c r="P421" s="2">
        <f>Employee_Data[[#This Row],[Basic Salary]]*3%</f>
        <v>130.5</v>
      </c>
      <c r="Q421" s="2">
        <f>SUM(Employee_Data[[#This Row],[Basic Salary]],Employee_Data[[#This Row],[HRA]],Employee_Data[[#This Row],[MA]],Employee_Data[[#This Row],[TA]])</f>
        <v>5241.75</v>
      </c>
      <c r="R421" s="4">
        <f>Employee_Data[[#This Row],[Basic Salary]]*12.5%</f>
        <v>543.75</v>
      </c>
      <c r="S421" s="2">
        <f>Employee_Data[[#This Row],[Annual Salary]]/12</f>
        <v>4350</v>
      </c>
    </row>
    <row r="422" spans="1:19" x14ac:dyDescent="0.3">
      <c r="A422" t="s">
        <v>922</v>
      </c>
      <c r="B422" t="s">
        <v>923</v>
      </c>
      <c r="C422" t="s">
        <v>47</v>
      </c>
      <c r="D422" t="s">
        <v>61</v>
      </c>
      <c r="E422" t="s">
        <v>36</v>
      </c>
      <c r="F422" t="s">
        <v>23</v>
      </c>
      <c r="G422" t="s">
        <v>24</v>
      </c>
      <c r="H422">
        <v>53</v>
      </c>
      <c r="I422" s="1">
        <v>43207</v>
      </c>
      <c r="J422" s="2">
        <v>154141</v>
      </c>
      <c r="K422" s="3">
        <v>0.26</v>
      </c>
      <c r="L422" t="s">
        <v>37</v>
      </c>
      <c r="M422" t="s">
        <v>57</v>
      </c>
      <c r="N422" s="2">
        <f>Employee_Data[[#This Row],[Basic Salary]]*10%</f>
        <v>1284.5083333333334</v>
      </c>
      <c r="O422" s="4">
        <f>Employee_Data[[#This Row],[Basic Salary]]*7.5%</f>
        <v>963.38125000000002</v>
      </c>
      <c r="P422" s="2">
        <f>Employee_Data[[#This Row],[Basic Salary]]*3%</f>
        <v>385.35250000000002</v>
      </c>
      <c r="Q422" s="2">
        <f>SUM(Employee_Data[[#This Row],[Basic Salary]],Employee_Data[[#This Row],[HRA]],Employee_Data[[#This Row],[MA]],Employee_Data[[#This Row],[TA]])</f>
        <v>15478.325416666668</v>
      </c>
      <c r="R422" s="4">
        <f>Employee_Data[[#This Row],[Basic Salary]]*12.5%</f>
        <v>1605.6354166666667</v>
      </c>
      <c r="S422" s="2">
        <f>Employee_Data[[#This Row],[Annual Salary]]/12</f>
        <v>12845.083333333334</v>
      </c>
    </row>
    <row r="423" spans="1:19" x14ac:dyDescent="0.3">
      <c r="A423" t="s">
        <v>924</v>
      </c>
      <c r="B423" t="s">
        <v>925</v>
      </c>
      <c r="C423" t="s">
        <v>292</v>
      </c>
      <c r="D423" t="s">
        <v>21</v>
      </c>
      <c r="E423" t="s">
        <v>56</v>
      </c>
      <c r="F423" t="s">
        <v>42</v>
      </c>
      <c r="G423" t="s">
        <v>43</v>
      </c>
      <c r="H423">
        <v>59</v>
      </c>
      <c r="I423" s="1">
        <v>34175</v>
      </c>
      <c r="J423" s="2">
        <v>69245</v>
      </c>
      <c r="K423" s="3">
        <v>0</v>
      </c>
      <c r="L423" t="s">
        <v>25</v>
      </c>
      <c r="M423" t="s">
        <v>51</v>
      </c>
      <c r="N423" s="2">
        <f>Employee_Data[[#This Row],[Basic Salary]]*10%</f>
        <v>577.04166666666674</v>
      </c>
      <c r="O423" s="4">
        <f>Employee_Data[[#This Row],[Basic Salary]]*7.5%</f>
        <v>432.78125</v>
      </c>
      <c r="P423" s="2">
        <f>Employee_Data[[#This Row],[Basic Salary]]*3%</f>
        <v>173.11250000000001</v>
      </c>
      <c r="Q423" s="2">
        <f>SUM(Employee_Data[[#This Row],[Basic Salary]],Employee_Data[[#This Row],[HRA]],Employee_Data[[#This Row],[MA]],Employee_Data[[#This Row],[TA]])</f>
        <v>6953.3520833333341</v>
      </c>
      <c r="R423" s="4">
        <f>Employee_Data[[#This Row],[Basic Salary]]*12.5%</f>
        <v>721.30208333333337</v>
      </c>
      <c r="S423" s="2">
        <f>Employee_Data[[#This Row],[Annual Salary]]/12</f>
        <v>5770.416666666667</v>
      </c>
    </row>
    <row r="424" spans="1:19" x14ac:dyDescent="0.3">
      <c r="A424" t="s">
        <v>926</v>
      </c>
      <c r="B424" t="s">
        <v>927</v>
      </c>
      <c r="C424" t="s">
        <v>292</v>
      </c>
      <c r="D424" t="s">
        <v>21</v>
      </c>
      <c r="E424" t="s">
        <v>56</v>
      </c>
      <c r="F424" t="s">
        <v>23</v>
      </c>
      <c r="G424" t="s">
        <v>66</v>
      </c>
      <c r="H424">
        <v>57</v>
      </c>
      <c r="I424" s="1">
        <v>36252</v>
      </c>
      <c r="J424" s="2">
        <v>78212</v>
      </c>
      <c r="K424" s="3">
        <v>0</v>
      </c>
      <c r="L424" t="s">
        <v>25</v>
      </c>
      <c r="M424" t="s">
        <v>70</v>
      </c>
      <c r="N424" s="2">
        <f>Employee_Data[[#This Row],[Basic Salary]]*10%</f>
        <v>651.76666666666677</v>
      </c>
      <c r="O424" s="4">
        <f>Employee_Data[[#This Row],[Basic Salary]]*7.5%</f>
        <v>488.82499999999999</v>
      </c>
      <c r="P424" s="2">
        <f>Employee_Data[[#This Row],[Basic Salary]]*3%</f>
        <v>195.53</v>
      </c>
      <c r="Q424" s="2">
        <f>SUM(Employee_Data[[#This Row],[Basic Salary]],Employee_Data[[#This Row],[HRA]],Employee_Data[[#This Row],[MA]],Employee_Data[[#This Row],[TA]])</f>
        <v>7853.788333333333</v>
      </c>
      <c r="R424" s="4">
        <f>Employee_Data[[#This Row],[Basic Salary]]*12.5%</f>
        <v>814.70833333333337</v>
      </c>
      <c r="S424" s="2">
        <f>Employee_Data[[#This Row],[Annual Salary]]/12</f>
        <v>6517.666666666667</v>
      </c>
    </row>
    <row r="425" spans="1:19" x14ac:dyDescent="0.3">
      <c r="A425" t="s">
        <v>928</v>
      </c>
      <c r="B425" t="s">
        <v>929</v>
      </c>
      <c r="C425" t="s">
        <v>54</v>
      </c>
      <c r="D425" t="s">
        <v>55</v>
      </c>
      <c r="E425" t="s">
        <v>31</v>
      </c>
      <c r="F425" t="s">
        <v>23</v>
      </c>
      <c r="G425" t="s">
        <v>66</v>
      </c>
      <c r="H425">
        <v>41</v>
      </c>
      <c r="I425" s="1">
        <v>43745</v>
      </c>
      <c r="J425" s="2">
        <v>72650</v>
      </c>
      <c r="K425" s="3">
        <v>0</v>
      </c>
      <c r="L425" t="s">
        <v>25</v>
      </c>
      <c r="M425" t="s">
        <v>48</v>
      </c>
      <c r="N425" s="2">
        <f>Employee_Data[[#This Row],[Basic Salary]]*10%</f>
        <v>605.41666666666674</v>
      </c>
      <c r="O425" s="4">
        <f>Employee_Data[[#This Row],[Basic Salary]]*7.5%</f>
        <v>454.0625</v>
      </c>
      <c r="P425" s="2">
        <f>Employee_Data[[#This Row],[Basic Salary]]*3%</f>
        <v>181.625</v>
      </c>
      <c r="Q425" s="2">
        <f>SUM(Employee_Data[[#This Row],[Basic Salary]],Employee_Data[[#This Row],[HRA]],Employee_Data[[#This Row],[MA]],Employee_Data[[#This Row],[TA]])</f>
        <v>7295.2708333333339</v>
      </c>
      <c r="R425" s="4">
        <f>Employee_Data[[#This Row],[Basic Salary]]*12.5%</f>
        <v>756.77083333333337</v>
      </c>
      <c r="S425" s="2">
        <f>Employee_Data[[#This Row],[Annual Salary]]/12</f>
        <v>6054.166666666667</v>
      </c>
    </row>
    <row r="426" spans="1:19" x14ac:dyDescent="0.3">
      <c r="A426" t="s">
        <v>930</v>
      </c>
      <c r="B426" t="s">
        <v>931</v>
      </c>
      <c r="C426" t="s">
        <v>198</v>
      </c>
      <c r="D426" t="s">
        <v>21</v>
      </c>
      <c r="E426" t="s">
        <v>36</v>
      </c>
      <c r="F426" t="s">
        <v>42</v>
      </c>
      <c r="G426" t="s">
        <v>66</v>
      </c>
      <c r="H426">
        <v>33</v>
      </c>
      <c r="I426" s="1">
        <v>44145</v>
      </c>
      <c r="J426" s="2">
        <v>124681</v>
      </c>
      <c r="K426" s="3">
        <v>0</v>
      </c>
      <c r="L426" t="s">
        <v>25</v>
      </c>
      <c r="M426" t="s">
        <v>51</v>
      </c>
      <c r="N426" s="2">
        <f>Employee_Data[[#This Row],[Basic Salary]]*10%</f>
        <v>1039.0083333333334</v>
      </c>
      <c r="O426" s="4">
        <f>Employee_Data[[#This Row],[Basic Salary]]*7.5%</f>
        <v>779.25625000000002</v>
      </c>
      <c r="P426" s="2">
        <f>Employee_Data[[#This Row],[Basic Salary]]*3%</f>
        <v>311.70249999999999</v>
      </c>
      <c r="Q426" s="2">
        <f>SUM(Employee_Data[[#This Row],[Basic Salary]],Employee_Data[[#This Row],[HRA]],Employee_Data[[#This Row],[MA]],Employee_Data[[#This Row],[TA]])</f>
        <v>12520.050416666667</v>
      </c>
      <c r="R426" s="4">
        <f>Employee_Data[[#This Row],[Basic Salary]]*12.5%</f>
        <v>1298.7604166666667</v>
      </c>
      <c r="S426" s="2">
        <f>Employee_Data[[#This Row],[Annual Salary]]/12</f>
        <v>10390.083333333334</v>
      </c>
    </row>
    <row r="427" spans="1:19" x14ac:dyDescent="0.3">
      <c r="A427" t="s">
        <v>932</v>
      </c>
      <c r="B427" t="s">
        <v>933</v>
      </c>
      <c r="C427" t="s">
        <v>35</v>
      </c>
      <c r="D427" t="s">
        <v>4</v>
      </c>
      <c r="E427" t="s">
        <v>36</v>
      </c>
      <c r="F427" t="s">
        <v>23</v>
      </c>
      <c r="G427" t="s">
        <v>84</v>
      </c>
      <c r="H427">
        <v>35</v>
      </c>
      <c r="I427" s="1">
        <v>41507</v>
      </c>
      <c r="J427" s="2">
        <v>89051</v>
      </c>
      <c r="K427" s="3">
        <v>0</v>
      </c>
      <c r="L427" t="s">
        <v>25</v>
      </c>
      <c r="M427" t="s">
        <v>32</v>
      </c>
      <c r="N427" s="2">
        <f>Employee_Data[[#This Row],[Basic Salary]]*10%</f>
        <v>742.0916666666667</v>
      </c>
      <c r="O427" s="4">
        <f>Employee_Data[[#This Row],[Basic Salary]]*7.5%</f>
        <v>556.56875000000002</v>
      </c>
      <c r="P427" s="2">
        <f>Employee_Data[[#This Row],[Basic Salary]]*3%</f>
        <v>222.6275</v>
      </c>
      <c r="Q427" s="2">
        <f>SUM(Employee_Data[[#This Row],[Basic Salary]],Employee_Data[[#This Row],[HRA]],Employee_Data[[#This Row],[MA]],Employee_Data[[#This Row],[TA]])</f>
        <v>8942.2045833333341</v>
      </c>
      <c r="R427" s="4">
        <f>Employee_Data[[#This Row],[Basic Salary]]*12.5%</f>
        <v>927.61458333333337</v>
      </c>
      <c r="S427" s="2">
        <f>Employee_Data[[#This Row],[Annual Salary]]/12</f>
        <v>7420.916666666667</v>
      </c>
    </row>
    <row r="428" spans="1:19" x14ac:dyDescent="0.3">
      <c r="A428" t="s">
        <v>934</v>
      </c>
      <c r="B428" t="s">
        <v>935</v>
      </c>
      <c r="C428" t="s">
        <v>198</v>
      </c>
      <c r="D428" t="s">
        <v>21</v>
      </c>
      <c r="E428" t="s">
        <v>36</v>
      </c>
      <c r="F428" t="s">
        <v>23</v>
      </c>
      <c r="G428" t="s">
        <v>24</v>
      </c>
      <c r="H428">
        <v>36</v>
      </c>
      <c r="I428" s="1">
        <v>43801</v>
      </c>
      <c r="J428" s="2">
        <v>121049</v>
      </c>
      <c r="K428" s="3">
        <v>0</v>
      </c>
      <c r="L428" t="s">
        <v>25</v>
      </c>
      <c r="M428" t="s">
        <v>44</v>
      </c>
      <c r="N428" s="2">
        <f>Employee_Data[[#This Row],[Basic Salary]]*10%</f>
        <v>1008.7416666666667</v>
      </c>
      <c r="O428" s="4">
        <f>Employee_Data[[#This Row],[Basic Salary]]*7.5%</f>
        <v>756.55624999999998</v>
      </c>
      <c r="P428" s="2">
        <f>Employee_Data[[#This Row],[Basic Salary]]*3%</f>
        <v>302.62249999999995</v>
      </c>
      <c r="Q428" s="2">
        <f>SUM(Employee_Data[[#This Row],[Basic Salary]],Employee_Data[[#This Row],[HRA]],Employee_Data[[#This Row],[MA]],Employee_Data[[#This Row],[TA]])</f>
        <v>12155.337083333332</v>
      </c>
      <c r="R428" s="4">
        <f>Employee_Data[[#This Row],[Basic Salary]]*12.5%</f>
        <v>1260.9270833333333</v>
      </c>
      <c r="S428" s="2">
        <f>Employee_Data[[#This Row],[Annual Salary]]/12</f>
        <v>10087.416666666666</v>
      </c>
    </row>
    <row r="429" spans="1:19" x14ac:dyDescent="0.3">
      <c r="A429" t="s">
        <v>936</v>
      </c>
      <c r="B429" t="s">
        <v>937</v>
      </c>
      <c r="C429" t="s">
        <v>355</v>
      </c>
      <c r="D429" t="s">
        <v>4</v>
      </c>
      <c r="E429" t="s">
        <v>36</v>
      </c>
      <c r="F429" t="s">
        <v>23</v>
      </c>
      <c r="G429" t="s">
        <v>66</v>
      </c>
      <c r="H429">
        <v>54</v>
      </c>
      <c r="I429" s="1">
        <v>39248</v>
      </c>
      <c r="J429" s="2">
        <v>70519</v>
      </c>
      <c r="K429" s="3">
        <v>0</v>
      </c>
      <c r="L429" t="s">
        <v>25</v>
      </c>
      <c r="M429" t="s">
        <v>26</v>
      </c>
      <c r="N429" s="2">
        <f>Employee_Data[[#This Row],[Basic Salary]]*10%</f>
        <v>587.6583333333333</v>
      </c>
      <c r="O429" s="4">
        <f>Employee_Data[[#This Row],[Basic Salary]]*7.5%</f>
        <v>440.74374999999998</v>
      </c>
      <c r="P429" s="2">
        <f>Employee_Data[[#This Row],[Basic Salary]]*3%</f>
        <v>176.29749999999999</v>
      </c>
      <c r="Q429" s="2">
        <f>SUM(Employee_Data[[#This Row],[Basic Salary]],Employee_Data[[#This Row],[HRA]],Employee_Data[[#This Row],[MA]],Employee_Data[[#This Row],[TA]])</f>
        <v>7081.2829166666661</v>
      </c>
      <c r="R429" s="4">
        <f>Employee_Data[[#This Row],[Basic Salary]]*12.5%</f>
        <v>734.57291666666663</v>
      </c>
      <c r="S429" s="2">
        <f>Employee_Data[[#This Row],[Annual Salary]]/12</f>
        <v>5876.583333333333</v>
      </c>
    </row>
    <row r="430" spans="1:19" x14ac:dyDescent="0.3">
      <c r="A430" t="s">
        <v>938</v>
      </c>
      <c r="B430" t="s">
        <v>939</v>
      </c>
      <c r="C430" t="s">
        <v>69</v>
      </c>
      <c r="D430" t="s">
        <v>4</v>
      </c>
      <c r="E430" t="s">
        <v>36</v>
      </c>
      <c r="F430" t="s">
        <v>42</v>
      </c>
      <c r="G430" t="s">
        <v>24</v>
      </c>
      <c r="H430">
        <v>55</v>
      </c>
      <c r="I430" s="1">
        <v>39107</v>
      </c>
      <c r="J430" s="2">
        <v>106302</v>
      </c>
      <c r="K430" s="3">
        <v>0.08</v>
      </c>
      <c r="L430" t="s">
        <v>25</v>
      </c>
      <c r="M430" t="s">
        <v>48</v>
      </c>
      <c r="N430" s="2">
        <f>Employee_Data[[#This Row],[Basic Salary]]*10%</f>
        <v>885.85</v>
      </c>
      <c r="O430" s="4">
        <f>Employee_Data[[#This Row],[Basic Salary]]*7.5%</f>
        <v>664.38749999999993</v>
      </c>
      <c r="P430" s="2">
        <f>Employee_Data[[#This Row],[Basic Salary]]*3%</f>
        <v>265.755</v>
      </c>
      <c r="Q430" s="2">
        <f>SUM(Employee_Data[[#This Row],[Basic Salary]],Employee_Data[[#This Row],[HRA]],Employee_Data[[#This Row],[MA]],Employee_Data[[#This Row],[TA]])</f>
        <v>10674.4925</v>
      </c>
      <c r="R430" s="4">
        <f>Employee_Data[[#This Row],[Basic Salary]]*12.5%</f>
        <v>1107.3125</v>
      </c>
      <c r="S430" s="2">
        <f>Employee_Data[[#This Row],[Annual Salary]]/12</f>
        <v>8858.5</v>
      </c>
    </row>
    <row r="431" spans="1:19" x14ac:dyDescent="0.3">
      <c r="A431" t="s">
        <v>940</v>
      </c>
      <c r="B431" t="s">
        <v>941</v>
      </c>
      <c r="C431" t="s">
        <v>268</v>
      </c>
      <c r="D431" t="s">
        <v>21</v>
      </c>
      <c r="E431" t="s">
        <v>56</v>
      </c>
      <c r="F431" t="s">
        <v>23</v>
      </c>
      <c r="G431" t="s">
        <v>24</v>
      </c>
      <c r="H431">
        <v>38</v>
      </c>
      <c r="I431" s="1">
        <v>39685</v>
      </c>
      <c r="J431" s="2">
        <v>119960</v>
      </c>
      <c r="K431" s="3">
        <v>0.15</v>
      </c>
      <c r="L431" t="s">
        <v>25</v>
      </c>
      <c r="M431" t="s">
        <v>26</v>
      </c>
      <c r="N431" s="2">
        <f>Employee_Data[[#This Row],[Basic Salary]]*10%</f>
        <v>999.66666666666663</v>
      </c>
      <c r="O431" s="4">
        <f>Employee_Data[[#This Row],[Basic Salary]]*7.5%</f>
        <v>749.74999999999989</v>
      </c>
      <c r="P431" s="2">
        <f>Employee_Data[[#This Row],[Basic Salary]]*3%</f>
        <v>299.89999999999998</v>
      </c>
      <c r="Q431" s="2">
        <f>SUM(Employee_Data[[#This Row],[Basic Salary]],Employee_Data[[#This Row],[HRA]],Employee_Data[[#This Row],[MA]],Employee_Data[[#This Row],[TA]])</f>
        <v>12045.983333333332</v>
      </c>
      <c r="R431" s="4">
        <f>Employee_Data[[#This Row],[Basic Salary]]*12.5%</f>
        <v>1249.5833333333333</v>
      </c>
      <c r="S431" s="2">
        <f>Employee_Data[[#This Row],[Annual Salary]]/12</f>
        <v>9996.6666666666661</v>
      </c>
    </row>
    <row r="432" spans="1:19" x14ac:dyDescent="0.3">
      <c r="A432" t="s">
        <v>942</v>
      </c>
      <c r="B432" t="s">
        <v>943</v>
      </c>
      <c r="C432" t="s">
        <v>134</v>
      </c>
      <c r="D432" t="s">
        <v>21</v>
      </c>
      <c r="E432" t="s">
        <v>36</v>
      </c>
      <c r="F432" t="s">
        <v>23</v>
      </c>
      <c r="G432" t="s">
        <v>43</v>
      </c>
      <c r="H432">
        <v>45</v>
      </c>
      <c r="I432" s="1">
        <v>42788</v>
      </c>
      <c r="J432" s="2">
        <v>84309</v>
      </c>
      <c r="K432" s="3">
        <v>0</v>
      </c>
      <c r="L432" t="s">
        <v>137</v>
      </c>
      <c r="M432" t="s">
        <v>289</v>
      </c>
      <c r="N432" s="2">
        <f>Employee_Data[[#This Row],[Basic Salary]]*10%</f>
        <v>702.57500000000005</v>
      </c>
      <c r="O432" s="4">
        <f>Employee_Data[[#This Row],[Basic Salary]]*7.5%</f>
        <v>526.93124999999998</v>
      </c>
      <c r="P432" s="2">
        <f>Employee_Data[[#This Row],[Basic Salary]]*3%</f>
        <v>210.77249999999998</v>
      </c>
      <c r="Q432" s="2">
        <f>SUM(Employee_Data[[#This Row],[Basic Salary]],Employee_Data[[#This Row],[HRA]],Employee_Data[[#This Row],[MA]],Employee_Data[[#This Row],[TA]])</f>
        <v>8466.0287499999995</v>
      </c>
      <c r="R432" s="4">
        <f>Employee_Data[[#This Row],[Basic Salary]]*12.5%</f>
        <v>878.21875</v>
      </c>
      <c r="S432" s="2">
        <f>Employee_Data[[#This Row],[Annual Salary]]/12</f>
        <v>7025.75</v>
      </c>
    </row>
    <row r="433" spans="1:19" x14ac:dyDescent="0.3">
      <c r="A433" t="s">
        <v>944</v>
      </c>
      <c r="B433" t="s">
        <v>945</v>
      </c>
      <c r="C433" t="s">
        <v>89</v>
      </c>
      <c r="D433" t="s">
        <v>21</v>
      </c>
      <c r="E433" t="s">
        <v>22</v>
      </c>
      <c r="F433" t="s">
        <v>42</v>
      </c>
      <c r="G433" t="s">
        <v>66</v>
      </c>
      <c r="H433">
        <v>53</v>
      </c>
      <c r="I433" s="1">
        <v>39314</v>
      </c>
      <c r="J433" s="2">
        <v>228494</v>
      </c>
      <c r="K433" s="3">
        <v>0.33</v>
      </c>
      <c r="L433" t="s">
        <v>25</v>
      </c>
      <c r="M433" t="s">
        <v>48</v>
      </c>
      <c r="N433" s="2">
        <f>Employee_Data[[#This Row],[Basic Salary]]*10%</f>
        <v>1904.1166666666668</v>
      </c>
      <c r="O433" s="4">
        <f>Employee_Data[[#This Row],[Basic Salary]]*7.5%</f>
        <v>1428.0875000000001</v>
      </c>
      <c r="P433" s="2">
        <f>Employee_Data[[#This Row],[Basic Salary]]*3%</f>
        <v>571.23500000000001</v>
      </c>
      <c r="Q433" s="2">
        <f>SUM(Employee_Data[[#This Row],[Basic Salary]],Employee_Data[[#This Row],[HRA]],Employee_Data[[#This Row],[MA]],Employee_Data[[#This Row],[TA]])</f>
        <v>22944.605833333335</v>
      </c>
      <c r="R433" s="4">
        <f>Employee_Data[[#This Row],[Basic Salary]]*12.5%</f>
        <v>2380.1458333333335</v>
      </c>
      <c r="S433" s="2">
        <f>Employee_Data[[#This Row],[Annual Salary]]/12</f>
        <v>19041.166666666668</v>
      </c>
    </row>
    <row r="434" spans="1:19" x14ac:dyDescent="0.3">
      <c r="A434" t="s">
        <v>946</v>
      </c>
      <c r="B434" t="s">
        <v>947</v>
      </c>
      <c r="C434" t="s">
        <v>69</v>
      </c>
      <c r="D434" t="s">
        <v>30</v>
      </c>
      <c r="E434" t="s">
        <v>56</v>
      </c>
      <c r="F434" t="s">
        <v>23</v>
      </c>
      <c r="G434" t="s">
        <v>24</v>
      </c>
      <c r="H434">
        <v>45</v>
      </c>
      <c r="I434" s="1">
        <v>42878</v>
      </c>
      <c r="J434" s="2">
        <v>112076</v>
      </c>
      <c r="K434" s="3">
        <v>0.06</v>
      </c>
      <c r="L434" t="s">
        <v>37</v>
      </c>
      <c r="M434" t="s">
        <v>62</v>
      </c>
      <c r="N434" s="2">
        <f>Employee_Data[[#This Row],[Basic Salary]]*10%</f>
        <v>933.9666666666667</v>
      </c>
      <c r="O434" s="4">
        <f>Employee_Data[[#This Row],[Basic Salary]]*7.5%</f>
        <v>700.47499999999991</v>
      </c>
      <c r="P434" s="2">
        <f>Employee_Data[[#This Row],[Basic Salary]]*3%</f>
        <v>280.19</v>
      </c>
      <c r="Q434" s="2">
        <f>SUM(Employee_Data[[#This Row],[Basic Salary]],Employee_Data[[#This Row],[HRA]],Employee_Data[[#This Row],[MA]],Employee_Data[[#This Row],[TA]])</f>
        <v>11254.298333333334</v>
      </c>
      <c r="R434" s="4">
        <f>Employee_Data[[#This Row],[Basic Salary]]*12.5%</f>
        <v>1167.4583333333333</v>
      </c>
      <c r="S434" s="2">
        <f>Employee_Data[[#This Row],[Annual Salary]]/12</f>
        <v>9339.6666666666661</v>
      </c>
    </row>
    <row r="435" spans="1:19" x14ac:dyDescent="0.3">
      <c r="A435" t="s">
        <v>948</v>
      </c>
      <c r="B435" t="s">
        <v>949</v>
      </c>
      <c r="C435" t="s">
        <v>101</v>
      </c>
      <c r="D435" t="s">
        <v>4</v>
      </c>
      <c r="E435" t="s">
        <v>56</v>
      </c>
      <c r="F435" t="s">
        <v>23</v>
      </c>
      <c r="G435" t="s">
        <v>43</v>
      </c>
      <c r="H435">
        <v>65</v>
      </c>
      <c r="I435" s="1">
        <v>42580</v>
      </c>
      <c r="J435" s="2">
        <v>88533</v>
      </c>
      <c r="K435" s="3">
        <v>0</v>
      </c>
      <c r="L435" t="s">
        <v>137</v>
      </c>
      <c r="M435" t="s">
        <v>138</v>
      </c>
      <c r="N435" s="2">
        <f>Employee_Data[[#This Row],[Basic Salary]]*10%</f>
        <v>737.77500000000009</v>
      </c>
      <c r="O435" s="4">
        <f>Employee_Data[[#This Row],[Basic Salary]]*7.5%</f>
        <v>553.33124999999995</v>
      </c>
      <c r="P435" s="2">
        <f>Employee_Data[[#This Row],[Basic Salary]]*3%</f>
        <v>221.33249999999998</v>
      </c>
      <c r="Q435" s="2">
        <f>SUM(Employee_Data[[#This Row],[Basic Salary]],Employee_Data[[#This Row],[HRA]],Employee_Data[[#This Row],[MA]],Employee_Data[[#This Row],[TA]])</f>
        <v>8890.1887499999993</v>
      </c>
      <c r="R435" s="4">
        <f>Employee_Data[[#This Row],[Basic Salary]]*12.5%</f>
        <v>922.21875</v>
      </c>
      <c r="S435" s="2">
        <f>Employee_Data[[#This Row],[Annual Salary]]/12</f>
        <v>7377.75</v>
      </c>
    </row>
    <row r="436" spans="1:19" x14ac:dyDescent="0.3">
      <c r="A436" t="s">
        <v>950</v>
      </c>
      <c r="B436" t="s">
        <v>951</v>
      </c>
      <c r="C436" t="s">
        <v>247</v>
      </c>
      <c r="D436" t="s">
        <v>126</v>
      </c>
      <c r="E436" t="s">
        <v>36</v>
      </c>
      <c r="F436" t="s">
        <v>23</v>
      </c>
      <c r="G436" t="s">
        <v>43</v>
      </c>
      <c r="H436">
        <v>62</v>
      </c>
      <c r="I436" s="1">
        <v>43433</v>
      </c>
      <c r="J436" s="2">
        <v>72025</v>
      </c>
      <c r="K436" s="3">
        <v>0</v>
      </c>
      <c r="L436" t="s">
        <v>137</v>
      </c>
      <c r="M436" t="s">
        <v>289</v>
      </c>
      <c r="N436" s="2">
        <f>Employee_Data[[#This Row],[Basic Salary]]*10%</f>
        <v>600.20833333333337</v>
      </c>
      <c r="O436" s="4">
        <f>Employee_Data[[#This Row],[Basic Salary]]*7.5%</f>
        <v>450.15624999999994</v>
      </c>
      <c r="P436" s="2">
        <f>Employee_Data[[#This Row],[Basic Salary]]*3%</f>
        <v>180.06249999999997</v>
      </c>
      <c r="Q436" s="2">
        <f>SUM(Employee_Data[[#This Row],[Basic Salary]],Employee_Data[[#This Row],[HRA]],Employee_Data[[#This Row],[MA]],Employee_Data[[#This Row],[TA]])</f>
        <v>7232.5104166666661</v>
      </c>
      <c r="R436" s="4">
        <f>Employee_Data[[#This Row],[Basic Salary]]*12.5%</f>
        <v>750.26041666666663</v>
      </c>
      <c r="S436" s="2">
        <f>Employee_Data[[#This Row],[Annual Salary]]/12</f>
        <v>6002.083333333333</v>
      </c>
    </row>
    <row r="437" spans="1:19" x14ac:dyDescent="0.3">
      <c r="A437" t="s">
        <v>952</v>
      </c>
      <c r="B437" t="s">
        <v>953</v>
      </c>
      <c r="C437" t="s">
        <v>292</v>
      </c>
      <c r="D437" t="s">
        <v>21</v>
      </c>
      <c r="E437" t="s">
        <v>22</v>
      </c>
      <c r="F437" t="s">
        <v>23</v>
      </c>
      <c r="G437" t="s">
        <v>24</v>
      </c>
      <c r="H437">
        <v>59</v>
      </c>
      <c r="I437" s="1">
        <v>38023</v>
      </c>
      <c r="J437" s="2">
        <v>67947</v>
      </c>
      <c r="K437" s="3">
        <v>0</v>
      </c>
      <c r="L437" t="s">
        <v>37</v>
      </c>
      <c r="M437" t="s">
        <v>38</v>
      </c>
      <c r="N437" s="2">
        <f>Employee_Data[[#This Row],[Basic Salary]]*10%</f>
        <v>566.22500000000002</v>
      </c>
      <c r="O437" s="4">
        <f>Employee_Data[[#This Row],[Basic Salary]]*7.5%</f>
        <v>424.66874999999999</v>
      </c>
      <c r="P437" s="2">
        <f>Employee_Data[[#This Row],[Basic Salary]]*3%</f>
        <v>169.86750000000001</v>
      </c>
      <c r="Q437" s="2">
        <f>SUM(Employee_Data[[#This Row],[Basic Salary]],Employee_Data[[#This Row],[HRA]],Employee_Data[[#This Row],[MA]],Employee_Data[[#This Row],[TA]])</f>
        <v>6823.0112500000005</v>
      </c>
      <c r="R437" s="4">
        <f>Employee_Data[[#This Row],[Basic Salary]]*12.5%</f>
        <v>707.78125</v>
      </c>
      <c r="S437" s="2">
        <f>Employee_Data[[#This Row],[Annual Salary]]/12</f>
        <v>5662.25</v>
      </c>
    </row>
    <row r="438" spans="1:19" x14ac:dyDescent="0.3">
      <c r="A438" t="s">
        <v>954</v>
      </c>
      <c r="B438" t="s">
        <v>955</v>
      </c>
      <c r="C438" t="s">
        <v>164</v>
      </c>
      <c r="D438" t="s">
        <v>4</v>
      </c>
      <c r="E438" t="s">
        <v>22</v>
      </c>
      <c r="F438" t="s">
        <v>42</v>
      </c>
      <c r="G438" t="s">
        <v>66</v>
      </c>
      <c r="H438">
        <v>42</v>
      </c>
      <c r="I438" s="1">
        <v>44024</v>
      </c>
      <c r="J438" s="2">
        <v>79764</v>
      </c>
      <c r="K438" s="3">
        <v>0</v>
      </c>
      <c r="L438" t="s">
        <v>25</v>
      </c>
      <c r="M438" t="s">
        <v>48</v>
      </c>
      <c r="N438" s="2">
        <f>Employee_Data[[#This Row],[Basic Salary]]*10%</f>
        <v>664.7</v>
      </c>
      <c r="O438" s="4">
        <f>Employee_Data[[#This Row],[Basic Salary]]*7.5%</f>
        <v>498.52499999999998</v>
      </c>
      <c r="P438" s="2">
        <f>Employee_Data[[#This Row],[Basic Salary]]*3%</f>
        <v>199.41</v>
      </c>
      <c r="Q438" s="2">
        <f>SUM(Employee_Data[[#This Row],[Basic Salary]],Employee_Data[[#This Row],[HRA]],Employee_Data[[#This Row],[MA]],Employee_Data[[#This Row],[TA]])</f>
        <v>8009.6349999999993</v>
      </c>
      <c r="R438" s="4">
        <f>Employee_Data[[#This Row],[Basic Salary]]*12.5%</f>
        <v>830.875</v>
      </c>
      <c r="S438" s="2">
        <f>Employee_Data[[#This Row],[Annual Salary]]/12</f>
        <v>6647</v>
      </c>
    </row>
    <row r="439" spans="1:19" x14ac:dyDescent="0.3">
      <c r="A439" t="s">
        <v>956</v>
      </c>
      <c r="B439" t="s">
        <v>957</v>
      </c>
      <c r="C439" t="s">
        <v>164</v>
      </c>
      <c r="D439" t="s">
        <v>4</v>
      </c>
      <c r="E439" t="s">
        <v>36</v>
      </c>
      <c r="F439" t="s">
        <v>42</v>
      </c>
      <c r="G439" t="s">
        <v>24</v>
      </c>
      <c r="H439">
        <v>33</v>
      </c>
      <c r="I439" s="1">
        <v>42081</v>
      </c>
      <c r="J439" s="2">
        <v>60690</v>
      </c>
      <c r="K439" s="3">
        <v>0</v>
      </c>
      <c r="L439" t="s">
        <v>37</v>
      </c>
      <c r="M439" t="s">
        <v>57</v>
      </c>
      <c r="N439" s="2">
        <f>Employee_Data[[#This Row],[Basic Salary]]*10%</f>
        <v>505.75</v>
      </c>
      <c r="O439" s="4">
        <f>Employee_Data[[#This Row],[Basic Salary]]*7.5%</f>
        <v>379.3125</v>
      </c>
      <c r="P439" s="2">
        <f>Employee_Data[[#This Row],[Basic Salary]]*3%</f>
        <v>151.72499999999999</v>
      </c>
      <c r="Q439" s="2">
        <f>SUM(Employee_Data[[#This Row],[Basic Salary]],Employee_Data[[#This Row],[HRA]],Employee_Data[[#This Row],[MA]],Employee_Data[[#This Row],[TA]])</f>
        <v>6094.2875000000004</v>
      </c>
      <c r="R439" s="4">
        <f>Employee_Data[[#This Row],[Basic Salary]]*12.5%</f>
        <v>632.1875</v>
      </c>
      <c r="S439" s="2">
        <f>Employee_Data[[#This Row],[Annual Salary]]/12</f>
        <v>5057.5</v>
      </c>
    </row>
    <row r="440" spans="1:19" x14ac:dyDescent="0.3">
      <c r="A440" t="s">
        <v>958</v>
      </c>
      <c r="B440" t="s">
        <v>959</v>
      </c>
      <c r="C440" t="s">
        <v>29</v>
      </c>
      <c r="D440" t="s">
        <v>55</v>
      </c>
      <c r="E440" t="s">
        <v>31</v>
      </c>
      <c r="F440" t="s">
        <v>23</v>
      </c>
      <c r="G440" t="s">
        <v>24</v>
      </c>
      <c r="H440">
        <v>29</v>
      </c>
      <c r="I440" s="1">
        <v>43337</v>
      </c>
      <c r="J440" s="2">
        <v>44520</v>
      </c>
      <c r="K440" s="3">
        <v>0</v>
      </c>
      <c r="L440" t="s">
        <v>25</v>
      </c>
      <c r="M440" t="s">
        <v>32</v>
      </c>
      <c r="N440" s="2">
        <f>Employee_Data[[#This Row],[Basic Salary]]*10%</f>
        <v>371</v>
      </c>
      <c r="O440" s="4">
        <f>Employee_Data[[#This Row],[Basic Salary]]*7.5%</f>
        <v>278.25</v>
      </c>
      <c r="P440" s="2">
        <f>Employee_Data[[#This Row],[Basic Salary]]*3%</f>
        <v>111.3</v>
      </c>
      <c r="Q440" s="2">
        <f>SUM(Employee_Data[[#This Row],[Basic Salary]],Employee_Data[[#This Row],[HRA]],Employee_Data[[#This Row],[MA]],Employee_Data[[#This Row],[TA]])</f>
        <v>4470.55</v>
      </c>
      <c r="R440" s="4">
        <f>Employee_Data[[#This Row],[Basic Salary]]*12.5%</f>
        <v>463.75</v>
      </c>
      <c r="S440" s="2">
        <f>Employee_Data[[#This Row],[Annual Salary]]/12</f>
        <v>3710</v>
      </c>
    </row>
    <row r="441" spans="1:19" x14ac:dyDescent="0.3">
      <c r="A441" t="s">
        <v>960</v>
      </c>
      <c r="B441" t="s">
        <v>961</v>
      </c>
      <c r="C441" t="s">
        <v>380</v>
      </c>
      <c r="D441" t="s">
        <v>4</v>
      </c>
      <c r="E441" t="s">
        <v>31</v>
      </c>
      <c r="F441" t="s">
        <v>23</v>
      </c>
      <c r="G441" t="s">
        <v>43</v>
      </c>
      <c r="H441">
        <v>33</v>
      </c>
      <c r="I441" s="1">
        <v>44736</v>
      </c>
      <c r="J441" s="2">
        <v>84317</v>
      </c>
      <c r="K441" s="3">
        <v>0</v>
      </c>
      <c r="L441" t="s">
        <v>137</v>
      </c>
      <c r="M441" t="s">
        <v>138</v>
      </c>
      <c r="N441" s="2">
        <f>Employee_Data[[#This Row],[Basic Salary]]*10%</f>
        <v>702.64166666666677</v>
      </c>
      <c r="O441" s="4">
        <f>Employee_Data[[#This Row],[Basic Salary]]*7.5%</f>
        <v>526.98125000000005</v>
      </c>
      <c r="P441" s="2">
        <f>Employee_Data[[#This Row],[Basic Salary]]*3%</f>
        <v>210.79249999999999</v>
      </c>
      <c r="Q441" s="2">
        <f>SUM(Employee_Data[[#This Row],[Basic Salary]],Employee_Data[[#This Row],[HRA]],Employee_Data[[#This Row],[MA]],Employee_Data[[#This Row],[TA]])</f>
        <v>8466.8320833333328</v>
      </c>
      <c r="R441" s="4">
        <f>Employee_Data[[#This Row],[Basic Salary]]*12.5%</f>
        <v>878.30208333333337</v>
      </c>
      <c r="S441" s="2">
        <f>Employee_Data[[#This Row],[Annual Salary]]/12</f>
        <v>7026.416666666667</v>
      </c>
    </row>
    <row r="442" spans="1:19" x14ac:dyDescent="0.3">
      <c r="A442" t="s">
        <v>962</v>
      </c>
      <c r="B442" t="s">
        <v>963</v>
      </c>
      <c r="C442" t="s">
        <v>47</v>
      </c>
      <c r="D442" t="s">
        <v>30</v>
      </c>
      <c r="E442" t="s">
        <v>22</v>
      </c>
      <c r="F442" t="s">
        <v>42</v>
      </c>
      <c r="G442" t="s">
        <v>24</v>
      </c>
      <c r="H442">
        <v>36</v>
      </c>
      <c r="I442" s="1">
        <v>42138</v>
      </c>
      <c r="J442" s="2">
        <v>151055</v>
      </c>
      <c r="K442" s="3">
        <v>0.19</v>
      </c>
      <c r="L442" t="s">
        <v>25</v>
      </c>
      <c r="M442" t="s">
        <v>26</v>
      </c>
      <c r="N442" s="2">
        <f>Employee_Data[[#This Row],[Basic Salary]]*10%</f>
        <v>1258.7916666666667</v>
      </c>
      <c r="O442" s="4">
        <f>Employee_Data[[#This Row],[Basic Salary]]*7.5%</f>
        <v>944.09374999999989</v>
      </c>
      <c r="P442" s="2">
        <f>Employee_Data[[#This Row],[Basic Salary]]*3%</f>
        <v>377.63749999999999</v>
      </c>
      <c r="Q442" s="2">
        <f>SUM(Employee_Data[[#This Row],[Basic Salary]],Employee_Data[[#This Row],[HRA]],Employee_Data[[#This Row],[MA]],Employee_Data[[#This Row],[TA]])</f>
        <v>15168.439583333333</v>
      </c>
      <c r="R442" s="4">
        <f>Employee_Data[[#This Row],[Basic Salary]]*12.5%</f>
        <v>1573.4895833333333</v>
      </c>
      <c r="S442" s="2">
        <f>Employee_Data[[#This Row],[Annual Salary]]/12</f>
        <v>12587.916666666666</v>
      </c>
    </row>
    <row r="443" spans="1:19" x14ac:dyDescent="0.3">
      <c r="A443" t="s">
        <v>964</v>
      </c>
      <c r="B443" t="s">
        <v>965</v>
      </c>
      <c r="C443" t="s">
        <v>380</v>
      </c>
      <c r="D443" t="s">
        <v>4</v>
      </c>
      <c r="E443" t="s">
        <v>36</v>
      </c>
      <c r="F443" t="s">
        <v>23</v>
      </c>
      <c r="G443" t="s">
        <v>24</v>
      </c>
      <c r="H443">
        <v>43</v>
      </c>
      <c r="I443" s="1">
        <v>43917</v>
      </c>
      <c r="J443" s="2">
        <v>62492</v>
      </c>
      <c r="K443" s="3">
        <v>0</v>
      </c>
      <c r="L443" t="s">
        <v>25</v>
      </c>
      <c r="M443" t="s">
        <v>26</v>
      </c>
      <c r="N443" s="2">
        <f>Employee_Data[[#This Row],[Basic Salary]]*10%</f>
        <v>520.76666666666677</v>
      </c>
      <c r="O443" s="4">
        <f>Employee_Data[[#This Row],[Basic Salary]]*7.5%</f>
        <v>390.57499999999999</v>
      </c>
      <c r="P443" s="2">
        <f>Employee_Data[[#This Row],[Basic Salary]]*3%</f>
        <v>156.22999999999999</v>
      </c>
      <c r="Q443" s="2">
        <f>SUM(Employee_Data[[#This Row],[Basic Salary]],Employee_Data[[#This Row],[HRA]],Employee_Data[[#This Row],[MA]],Employee_Data[[#This Row],[TA]])</f>
        <v>6275.2383333333328</v>
      </c>
      <c r="R443" s="4">
        <f>Employee_Data[[#This Row],[Basic Salary]]*12.5%</f>
        <v>650.95833333333337</v>
      </c>
      <c r="S443" s="2">
        <f>Employee_Data[[#This Row],[Annual Salary]]/12</f>
        <v>5207.666666666667</v>
      </c>
    </row>
    <row r="444" spans="1:19" x14ac:dyDescent="0.3">
      <c r="A444" t="s">
        <v>966</v>
      </c>
      <c r="B444" t="s">
        <v>967</v>
      </c>
      <c r="C444" t="s">
        <v>247</v>
      </c>
      <c r="D444" t="s">
        <v>126</v>
      </c>
      <c r="E444" t="s">
        <v>36</v>
      </c>
      <c r="F444" t="s">
        <v>42</v>
      </c>
      <c r="G444" t="s">
        <v>24</v>
      </c>
      <c r="H444">
        <v>51</v>
      </c>
      <c r="I444" s="1">
        <v>40601</v>
      </c>
      <c r="J444" s="2">
        <v>72589</v>
      </c>
      <c r="K444" s="3">
        <v>0</v>
      </c>
      <c r="L444" t="s">
        <v>25</v>
      </c>
      <c r="M444" t="s">
        <v>48</v>
      </c>
      <c r="N444" s="2">
        <f>Employee_Data[[#This Row],[Basic Salary]]*10%</f>
        <v>604.9083333333333</v>
      </c>
      <c r="O444" s="4">
        <f>Employee_Data[[#This Row],[Basic Salary]]*7.5%</f>
        <v>453.68124999999998</v>
      </c>
      <c r="P444" s="2">
        <f>Employee_Data[[#This Row],[Basic Salary]]*3%</f>
        <v>181.4725</v>
      </c>
      <c r="Q444" s="2">
        <f>SUM(Employee_Data[[#This Row],[Basic Salary]],Employee_Data[[#This Row],[HRA]],Employee_Data[[#This Row],[MA]],Employee_Data[[#This Row],[TA]])</f>
        <v>7289.1454166666663</v>
      </c>
      <c r="R444" s="4">
        <f>Employee_Data[[#This Row],[Basic Salary]]*12.5%</f>
        <v>756.13541666666663</v>
      </c>
      <c r="S444" s="2">
        <f>Employee_Data[[#This Row],[Annual Salary]]/12</f>
        <v>6049.083333333333</v>
      </c>
    </row>
    <row r="445" spans="1:19" x14ac:dyDescent="0.3">
      <c r="A445" t="s">
        <v>968</v>
      </c>
      <c r="B445" t="s">
        <v>969</v>
      </c>
      <c r="C445" t="s">
        <v>436</v>
      </c>
      <c r="D445" t="s">
        <v>21</v>
      </c>
      <c r="E445" t="s">
        <v>31</v>
      </c>
      <c r="F445" t="s">
        <v>23</v>
      </c>
      <c r="G445" t="s">
        <v>24</v>
      </c>
      <c r="H445">
        <v>27</v>
      </c>
      <c r="I445" s="1">
        <v>44217</v>
      </c>
      <c r="J445" s="2">
        <v>82286</v>
      </c>
      <c r="K445" s="3">
        <v>0</v>
      </c>
      <c r="L445" t="s">
        <v>25</v>
      </c>
      <c r="M445" t="s">
        <v>32</v>
      </c>
      <c r="N445" s="2">
        <f>Employee_Data[[#This Row],[Basic Salary]]*10%</f>
        <v>685.7166666666667</v>
      </c>
      <c r="O445" s="4">
        <f>Employee_Data[[#This Row],[Basic Salary]]*7.5%</f>
        <v>514.28750000000002</v>
      </c>
      <c r="P445" s="2">
        <f>Employee_Data[[#This Row],[Basic Salary]]*3%</f>
        <v>205.715</v>
      </c>
      <c r="Q445" s="2">
        <f>SUM(Employee_Data[[#This Row],[Basic Salary]],Employee_Data[[#This Row],[HRA]],Employee_Data[[#This Row],[MA]],Employee_Data[[#This Row],[TA]])</f>
        <v>8262.8858333333337</v>
      </c>
      <c r="R445" s="4">
        <f>Employee_Data[[#This Row],[Basic Salary]]*12.5%</f>
        <v>857.14583333333337</v>
      </c>
      <c r="S445" s="2">
        <f>Employee_Data[[#This Row],[Annual Salary]]/12</f>
        <v>6857.166666666667</v>
      </c>
    </row>
    <row r="446" spans="1:19" x14ac:dyDescent="0.3">
      <c r="A446" t="s">
        <v>970</v>
      </c>
      <c r="B446" t="s">
        <v>971</v>
      </c>
      <c r="C446" t="s">
        <v>164</v>
      </c>
      <c r="D446" t="s">
        <v>4</v>
      </c>
      <c r="E446" t="s">
        <v>36</v>
      </c>
      <c r="F446" t="s">
        <v>42</v>
      </c>
      <c r="G446" t="s">
        <v>66</v>
      </c>
      <c r="H446">
        <v>55</v>
      </c>
      <c r="I446" s="1">
        <v>40870</v>
      </c>
      <c r="J446" s="2">
        <v>66660</v>
      </c>
      <c r="K446" s="3">
        <v>0</v>
      </c>
      <c r="L446" t="s">
        <v>25</v>
      </c>
      <c r="M446" t="s">
        <v>51</v>
      </c>
      <c r="N446" s="2">
        <f>Employee_Data[[#This Row],[Basic Salary]]*10%</f>
        <v>555.5</v>
      </c>
      <c r="O446" s="4">
        <f>Employee_Data[[#This Row],[Basic Salary]]*7.5%</f>
        <v>416.625</v>
      </c>
      <c r="P446" s="2">
        <f>Employee_Data[[#This Row],[Basic Salary]]*3%</f>
        <v>166.65</v>
      </c>
      <c r="Q446" s="2">
        <f>SUM(Employee_Data[[#This Row],[Basic Salary]],Employee_Data[[#This Row],[HRA]],Employee_Data[[#This Row],[MA]],Employee_Data[[#This Row],[TA]])</f>
        <v>6693.7749999999996</v>
      </c>
      <c r="R446" s="4">
        <f>Employee_Data[[#This Row],[Basic Salary]]*12.5%</f>
        <v>694.375</v>
      </c>
      <c r="S446" s="2">
        <f>Employee_Data[[#This Row],[Annual Salary]]/12</f>
        <v>5555</v>
      </c>
    </row>
    <row r="447" spans="1:19" x14ac:dyDescent="0.3">
      <c r="A447" t="s">
        <v>972</v>
      </c>
      <c r="B447" t="s">
        <v>973</v>
      </c>
      <c r="C447" t="s">
        <v>413</v>
      </c>
      <c r="D447" t="s">
        <v>21</v>
      </c>
      <c r="E447" t="s">
        <v>56</v>
      </c>
      <c r="F447" t="s">
        <v>42</v>
      </c>
      <c r="G447" t="s">
        <v>43</v>
      </c>
      <c r="H447">
        <v>62</v>
      </c>
      <c r="I447" s="1">
        <v>40043</v>
      </c>
      <c r="J447" s="2">
        <v>86805</v>
      </c>
      <c r="K447" s="3">
        <v>0</v>
      </c>
      <c r="L447" t="s">
        <v>25</v>
      </c>
      <c r="M447" t="s">
        <v>48</v>
      </c>
      <c r="N447" s="2">
        <f>Employee_Data[[#This Row],[Basic Salary]]*10%</f>
        <v>723.375</v>
      </c>
      <c r="O447" s="4">
        <f>Employee_Data[[#This Row],[Basic Salary]]*7.5%</f>
        <v>542.53125</v>
      </c>
      <c r="P447" s="2">
        <f>Employee_Data[[#This Row],[Basic Salary]]*3%</f>
        <v>217.01249999999999</v>
      </c>
      <c r="Q447" s="2">
        <f>SUM(Employee_Data[[#This Row],[Basic Salary]],Employee_Data[[#This Row],[HRA]],Employee_Data[[#This Row],[MA]],Employee_Data[[#This Row],[TA]])</f>
        <v>8716.6687500000007</v>
      </c>
      <c r="R447" s="4">
        <f>Employee_Data[[#This Row],[Basic Salary]]*12.5%</f>
        <v>904.21875</v>
      </c>
      <c r="S447" s="2">
        <f>Employee_Data[[#This Row],[Annual Salary]]/12</f>
        <v>7233.75</v>
      </c>
    </row>
    <row r="448" spans="1:19" x14ac:dyDescent="0.3">
      <c r="A448" t="s">
        <v>974</v>
      </c>
      <c r="B448" t="s">
        <v>975</v>
      </c>
      <c r="C448" t="s">
        <v>69</v>
      </c>
      <c r="D448" t="s">
        <v>126</v>
      </c>
      <c r="E448" t="s">
        <v>56</v>
      </c>
      <c r="F448" t="s">
        <v>42</v>
      </c>
      <c r="G448" t="s">
        <v>24</v>
      </c>
      <c r="H448">
        <v>46</v>
      </c>
      <c r="I448" s="1">
        <v>38210</v>
      </c>
      <c r="J448" s="2">
        <v>125878</v>
      </c>
      <c r="K448" s="3">
        <v>0.1</v>
      </c>
      <c r="L448" t="s">
        <v>25</v>
      </c>
      <c r="M448" t="s">
        <v>48</v>
      </c>
      <c r="N448" s="2">
        <f>Employee_Data[[#This Row],[Basic Salary]]*10%</f>
        <v>1048.9833333333333</v>
      </c>
      <c r="O448" s="4">
        <f>Employee_Data[[#This Row],[Basic Salary]]*7.5%</f>
        <v>786.73750000000007</v>
      </c>
      <c r="P448" s="2">
        <f>Employee_Data[[#This Row],[Basic Salary]]*3%</f>
        <v>314.69499999999999</v>
      </c>
      <c r="Q448" s="2">
        <f>SUM(Employee_Data[[#This Row],[Basic Salary]],Employee_Data[[#This Row],[HRA]],Employee_Data[[#This Row],[MA]],Employee_Data[[#This Row],[TA]])</f>
        <v>12640.249166666666</v>
      </c>
      <c r="R448" s="4">
        <f>Employee_Data[[#This Row],[Basic Salary]]*12.5%</f>
        <v>1311.2291666666667</v>
      </c>
      <c r="S448" s="2">
        <f>Employee_Data[[#This Row],[Annual Salary]]/12</f>
        <v>10489.833333333334</v>
      </c>
    </row>
    <row r="449" spans="1:19" x14ac:dyDescent="0.3">
      <c r="A449" t="s">
        <v>976</v>
      </c>
      <c r="B449" t="s">
        <v>977</v>
      </c>
      <c r="C449" t="s">
        <v>29</v>
      </c>
      <c r="D449" t="s">
        <v>55</v>
      </c>
      <c r="E449" t="s">
        <v>36</v>
      </c>
      <c r="F449" t="s">
        <v>42</v>
      </c>
      <c r="G449" t="s">
        <v>84</v>
      </c>
      <c r="H449">
        <v>47</v>
      </c>
      <c r="I449" s="1">
        <v>40125</v>
      </c>
      <c r="J449" s="2">
        <v>50290</v>
      </c>
      <c r="K449" s="3">
        <v>0</v>
      </c>
      <c r="L449" t="s">
        <v>25</v>
      </c>
      <c r="M449" t="s">
        <v>26</v>
      </c>
      <c r="N449" s="2">
        <f>Employee_Data[[#This Row],[Basic Salary]]*10%</f>
        <v>419.08333333333331</v>
      </c>
      <c r="O449" s="4">
        <f>Employee_Data[[#This Row],[Basic Salary]]*7.5%</f>
        <v>314.31249999999994</v>
      </c>
      <c r="P449" s="2">
        <f>Employee_Data[[#This Row],[Basic Salary]]*3%</f>
        <v>125.72499999999998</v>
      </c>
      <c r="Q449" s="2">
        <f>SUM(Employee_Data[[#This Row],[Basic Salary]],Employee_Data[[#This Row],[HRA]],Employee_Data[[#This Row],[MA]],Employee_Data[[#This Row],[TA]])</f>
        <v>5049.9541666666664</v>
      </c>
      <c r="R449" s="4">
        <f>Employee_Data[[#This Row],[Basic Salary]]*12.5%</f>
        <v>523.85416666666663</v>
      </c>
      <c r="S449" s="2">
        <f>Employee_Data[[#This Row],[Annual Salary]]/12</f>
        <v>4190.833333333333</v>
      </c>
    </row>
    <row r="450" spans="1:19" x14ac:dyDescent="0.3">
      <c r="A450" t="s">
        <v>978</v>
      </c>
      <c r="B450" t="s">
        <v>979</v>
      </c>
      <c r="C450" t="s">
        <v>180</v>
      </c>
      <c r="D450" t="s">
        <v>4</v>
      </c>
      <c r="E450" t="s">
        <v>36</v>
      </c>
      <c r="F450" t="s">
        <v>42</v>
      </c>
      <c r="G450" t="s">
        <v>43</v>
      </c>
      <c r="H450">
        <v>57</v>
      </c>
      <c r="I450" s="1">
        <v>36707</v>
      </c>
      <c r="J450" s="2">
        <v>97083</v>
      </c>
      <c r="K450" s="3">
        <v>0.06</v>
      </c>
      <c r="L450" t="s">
        <v>25</v>
      </c>
      <c r="M450" t="s">
        <v>48</v>
      </c>
      <c r="N450" s="2">
        <f>Employee_Data[[#This Row],[Basic Salary]]*10%</f>
        <v>809.02500000000009</v>
      </c>
      <c r="O450" s="4">
        <f>Employee_Data[[#This Row],[Basic Salary]]*7.5%</f>
        <v>606.76874999999995</v>
      </c>
      <c r="P450" s="2">
        <f>Employee_Data[[#This Row],[Basic Salary]]*3%</f>
        <v>242.70749999999998</v>
      </c>
      <c r="Q450" s="2">
        <f>SUM(Employee_Data[[#This Row],[Basic Salary]],Employee_Data[[#This Row],[HRA]],Employee_Data[[#This Row],[MA]],Employee_Data[[#This Row],[TA]])</f>
        <v>9748.7512499999993</v>
      </c>
      <c r="R450" s="4">
        <f>Employee_Data[[#This Row],[Basic Salary]]*12.5%</f>
        <v>1011.28125</v>
      </c>
      <c r="S450" s="2">
        <f>Employee_Data[[#This Row],[Annual Salary]]/12</f>
        <v>8090.25</v>
      </c>
    </row>
    <row r="451" spans="1:19" x14ac:dyDescent="0.3">
      <c r="A451" t="s">
        <v>980</v>
      </c>
      <c r="B451" t="s">
        <v>981</v>
      </c>
      <c r="C451" t="s">
        <v>35</v>
      </c>
      <c r="D451" t="s">
        <v>4</v>
      </c>
      <c r="E451" t="s">
        <v>31</v>
      </c>
      <c r="F451" t="s">
        <v>42</v>
      </c>
      <c r="G451" t="s">
        <v>24</v>
      </c>
      <c r="H451">
        <v>49</v>
      </c>
      <c r="I451" s="1">
        <v>43565</v>
      </c>
      <c r="J451" s="2">
        <v>93306</v>
      </c>
      <c r="K451" s="3">
        <v>0</v>
      </c>
      <c r="L451" t="s">
        <v>37</v>
      </c>
      <c r="M451" t="s">
        <v>111</v>
      </c>
      <c r="N451" s="2">
        <f>Employee_Data[[#This Row],[Basic Salary]]*10%</f>
        <v>777.55000000000007</v>
      </c>
      <c r="O451" s="4">
        <f>Employee_Data[[#This Row],[Basic Salary]]*7.5%</f>
        <v>583.16250000000002</v>
      </c>
      <c r="P451" s="2">
        <f>Employee_Data[[#This Row],[Basic Salary]]*3%</f>
        <v>233.26499999999999</v>
      </c>
      <c r="Q451" s="2">
        <f>SUM(Employee_Data[[#This Row],[Basic Salary]],Employee_Data[[#This Row],[HRA]],Employee_Data[[#This Row],[MA]],Employee_Data[[#This Row],[TA]])</f>
        <v>9369.4774999999991</v>
      </c>
      <c r="R451" s="4">
        <f>Employee_Data[[#This Row],[Basic Salary]]*12.5%</f>
        <v>971.9375</v>
      </c>
      <c r="S451" s="2">
        <f>Employee_Data[[#This Row],[Annual Salary]]/12</f>
        <v>7775.5</v>
      </c>
    </row>
    <row r="452" spans="1:19" x14ac:dyDescent="0.3">
      <c r="A452" t="s">
        <v>982</v>
      </c>
      <c r="B452" t="s">
        <v>983</v>
      </c>
      <c r="C452" t="s">
        <v>292</v>
      </c>
      <c r="D452" t="s">
        <v>21</v>
      </c>
      <c r="E452" t="s">
        <v>22</v>
      </c>
      <c r="F452" t="s">
        <v>42</v>
      </c>
      <c r="G452" t="s">
        <v>24</v>
      </c>
      <c r="H452">
        <v>42</v>
      </c>
      <c r="I452" s="1">
        <v>44628</v>
      </c>
      <c r="J452" s="2">
        <v>73404</v>
      </c>
      <c r="K452" s="3">
        <v>0</v>
      </c>
      <c r="L452" t="s">
        <v>25</v>
      </c>
      <c r="M452" t="s">
        <v>48</v>
      </c>
      <c r="N452" s="2">
        <f>Employee_Data[[#This Row],[Basic Salary]]*10%</f>
        <v>611.70000000000005</v>
      </c>
      <c r="O452" s="4">
        <f>Employee_Data[[#This Row],[Basic Salary]]*7.5%</f>
        <v>458.77499999999998</v>
      </c>
      <c r="P452" s="2">
        <f>Employee_Data[[#This Row],[Basic Salary]]*3%</f>
        <v>183.51</v>
      </c>
      <c r="Q452" s="2">
        <f>SUM(Employee_Data[[#This Row],[Basic Salary]],Employee_Data[[#This Row],[HRA]],Employee_Data[[#This Row],[MA]],Employee_Data[[#This Row],[TA]])</f>
        <v>7370.9849999999997</v>
      </c>
      <c r="R452" s="4">
        <f>Employee_Data[[#This Row],[Basic Salary]]*12.5%</f>
        <v>764.625</v>
      </c>
      <c r="S452" s="2">
        <f>Employee_Data[[#This Row],[Annual Salary]]/12</f>
        <v>6117</v>
      </c>
    </row>
    <row r="453" spans="1:19" x14ac:dyDescent="0.3">
      <c r="A453" t="s">
        <v>984</v>
      </c>
      <c r="B453" t="s">
        <v>985</v>
      </c>
      <c r="C453" t="s">
        <v>41</v>
      </c>
      <c r="D453" t="s">
        <v>4</v>
      </c>
      <c r="E453" t="s">
        <v>56</v>
      </c>
      <c r="F453" t="s">
        <v>42</v>
      </c>
      <c r="G453" t="s">
        <v>24</v>
      </c>
      <c r="H453">
        <v>55</v>
      </c>
      <c r="I453" s="1">
        <v>44902</v>
      </c>
      <c r="J453" s="2">
        <v>91179</v>
      </c>
      <c r="K453" s="3">
        <v>0</v>
      </c>
      <c r="L453" t="s">
        <v>25</v>
      </c>
      <c r="M453" t="s">
        <v>26</v>
      </c>
      <c r="N453" s="2">
        <f>Employee_Data[[#This Row],[Basic Salary]]*10%</f>
        <v>759.82500000000005</v>
      </c>
      <c r="O453" s="4">
        <f>Employee_Data[[#This Row],[Basic Salary]]*7.5%</f>
        <v>569.86874999999998</v>
      </c>
      <c r="P453" s="2">
        <f>Employee_Data[[#This Row],[Basic Salary]]*3%</f>
        <v>227.94749999999999</v>
      </c>
      <c r="Q453" s="2">
        <f>SUM(Employee_Data[[#This Row],[Basic Salary]],Employee_Data[[#This Row],[HRA]],Employee_Data[[#This Row],[MA]],Employee_Data[[#This Row],[TA]])</f>
        <v>9155.8912500000006</v>
      </c>
      <c r="R453" s="4">
        <f>Employee_Data[[#This Row],[Basic Salary]]*12.5%</f>
        <v>949.78125</v>
      </c>
      <c r="S453" s="2">
        <f>Employee_Data[[#This Row],[Annual Salary]]/12</f>
        <v>7598.25</v>
      </c>
    </row>
    <row r="454" spans="1:19" x14ac:dyDescent="0.3">
      <c r="A454" t="s">
        <v>986</v>
      </c>
      <c r="B454" t="s">
        <v>987</v>
      </c>
      <c r="C454" t="s">
        <v>69</v>
      </c>
      <c r="D454" t="s">
        <v>61</v>
      </c>
      <c r="E454" t="s">
        <v>56</v>
      </c>
      <c r="F454" t="s">
        <v>42</v>
      </c>
      <c r="G454" t="s">
        <v>24</v>
      </c>
      <c r="H454">
        <v>46</v>
      </c>
      <c r="I454" s="1">
        <v>38956</v>
      </c>
      <c r="J454" s="2">
        <v>108003</v>
      </c>
      <c r="K454" s="3">
        <v>0.05</v>
      </c>
      <c r="L454" t="s">
        <v>37</v>
      </c>
      <c r="M454" t="s">
        <v>62</v>
      </c>
      <c r="N454" s="2">
        <f>Employee_Data[[#This Row],[Basic Salary]]*10%</f>
        <v>900.02500000000009</v>
      </c>
      <c r="O454" s="4">
        <f>Employee_Data[[#This Row],[Basic Salary]]*7.5%</f>
        <v>675.01874999999995</v>
      </c>
      <c r="P454" s="2">
        <f>Employee_Data[[#This Row],[Basic Salary]]*3%</f>
        <v>270.00749999999999</v>
      </c>
      <c r="Q454" s="2">
        <f>SUM(Employee_Data[[#This Row],[Basic Salary]],Employee_Data[[#This Row],[HRA]],Employee_Data[[#This Row],[MA]],Employee_Data[[#This Row],[TA]])</f>
        <v>10845.301249999999</v>
      </c>
      <c r="R454" s="4">
        <f>Employee_Data[[#This Row],[Basic Salary]]*12.5%</f>
        <v>1125.03125</v>
      </c>
      <c r="S454" s="2">
        <f>Employee_Data[[#This Row],[Annual Salary]]/12</f>
        <v>9000.25</v>
      </c>
    </row>
    <row r="455" spans="1:19" x14ac:dyDescent="0.3">
      <c r="A455" t="s">
        <v>988</v>
      </c>
      <c r="B455" t="s">
        <v>989</v>
      </c>
      <c r="C455" t="s">
        <v>65</v>
      </c>
      <c r="D455" t="s">
        <v>4</v>
      </c>
      <c r="E455" t="s">
        <v>31</v>
      </c>
      <c r="F455" t="s">
        <v>23</v>
      </c>
      <c r="G455" t="s">
        <v>24</v>
      </c>
      <c r="H455">
        <v>45</v>
      </c>
      <c r="I455" s="1">
        <v>38093</v>
      </c>
      <c r="J455" s="2">
        <v>81384</v>
      </c>
      <c r="K455" s="3">
        <v>0</v>
      </c>
      <c r="L455" t="s">
        <v>37</v>
      </c>
      <c r="M455" t="s">
        <v>111</v>
      </c>
      <c r="N455" s="2">
        <f>Employee_Data[[#This Row],[Basic Salary]]*10%</f>
        <v>678.2</v>
      </c>
      <c r="O455" s="4">
        <f>Employee_Data[[#This Row],[Basic Salary]]*7.5%</f>
        <v>508.65</v>
      </c>
      <c r="P455" s="2">
        <f>Employee_Data[[#This Row],[Basic Salary]]*3%</f>
        <v>203.45999999999998</v>
      </c>
      <c r="Q455" s="2">
        <f>SUM(Employee_Data[[#This Row],[Basic Salary]],Employee_Data[[#This Row],[HRA]],Employee_Data[[#This Row],[MA]],Employee_Data[[#This Row],[TA]])</f>
        <v>8172.3099999999995</v>
      </c>
      <c r="R455" s="4">
        <f>Employee_Data[[#This Row],[Basic Salary]]*12.5%</f>
        <v>847.75</v>
      </c>
      <c r="S455" s="2">
        <f>Employee_Data[[#This Row],[Annual Salary]]/12</f>
        <v>6782</v>
      </c>
    </row>
    <row r="456" spans="1:19" x14ac:dyDescent="0.3">
      <c r="A456" t="s">
        <v>990</v>
      </c>
      <c r="B456" t="s">
        <v>991</v>
      </c>
      <c r="C456" t="s">
        <v>232</v>
      </c>
      <c r="D456" t="s">
        <v>126</v>
      </c>
      <c r="E456" t="s">
        <v>22</v>
      </c>
      <c r="F456" t="s">
        <v>23</v>
      </c>
      <c r="G456" t="s">
        <v>66</v>
      </c>
      <c r="H456">
        <v>53</v>
      </c>
      <c r="I456" s="1">
        <v>40996</v>
      </c>
      <c r="J456" s="2">
        <v>97218</v>
      </c>
      <c r="K456" s="3">
        <v>0</v>
      </c>
      <c r="L456" t="s">
        <v>25</v>
      </c>
      <c r="M456" t="s">
        <v>48</v>
      </c>
      <c r="N456" s="2">
        <f>Employee_Data[[#This Row],[Basic Salary]]*10%</f>
        <v>810.15000000000009</v>
      </c>
      <c r="O456" s="4">
        <f>Employee_Data[[#This Row],[Basic Salary]]*7.5%</f>
        <v>607.61249999999995</v>
      </c>
      <c r="P456" s="2">
        <f>Employee_Data[[#This Row],[Basic Salary]]*3%</f>
        <v>243.04499999999999</v>
      </c>
      <c r="Q456" s="2">
        <f>SUM(Employee_Data[[#This Row],[Basic Salary]],Employee_Data[[#This Row],[HRA]],Employee_Data[[#This Row],[MA]],Employee_Data[[#This Row],[TA]])</f>
        <v>9762.307499999999</v>
      </c>
      <c r="R456" s="4">
        <f>Employee_Data[[#This Row],[Basic Salary]]*12.5%</f>
        <v>1012.6875</v>
      </c>
      <c r="S456" s="2">
        <f>Employee_Data[[#This Row],[Annual Salary]]/12</f>
        <v>8101.5</v>
      </c>
    </row>
    <row r="457" spans="1:19" x14ac:dyDescent="0.3">
      <c r="A457" t="s">
        <v>992</v>
      </c>
      <c r="B457" t="s">
        <v>993</v>
      </c>
      <c r="C457" t="s">
        <v>29</v>
      </c>
      <c r="D457" t="s">
        <v>30</v>
      </c>
      <c r="E457" t="s">
        <v>36</v>
      </c>
      <c r="F457" t="s">
        <v>42</v>
      </c>
      <c r="G457" t="s">
        <v>66</v>
      </c>
      <c r="H457">
        <v>46</v>
      </c>
      <c r="I457" s="1">
        <v>38977</v>
      </c>
      <c r="J457" s="2">
        <v>42944</v>
      </c>
      <c r="K457" s="3">
        <v>0</v>
      </c>
      <c r="L457" t="s">
        <v>25</v>
      </c>
      <c r="M457" t="s">
        <v>70</v>
      </c>
      <c r="N457" s="2">
        <f>Employee_Data[[#This Row],[Basic Salary]]*10%</f>
        <v>357.86666666666667</v>
      </c>
      <c r="O457" s="4">
        <f>Employee_Data[[#This Row],[Basic Salary]]*7.5%</f>
        <v>268.39999999999998</v>
      </c>
      <c r="P457" s="2">
        <f>Employee_Data[[#This Row],[Basic Salary]]*3%</f>
        <v>107.35999999999999</v>
      </c>
      <c r="Q457" s="2">
        <f>SUM(Employee_Data[[#This Row],[Basic Salary]],Employee_Data[[#This Row],[HRA]],Employee_Data[[#This Row],[MA]],Employee_Data[[#This Row],[TA]])</f>
        <v>4312.2933333333331</v>
      </c>
      <c r="R457" s="4">
        <f>Employee_Data[[#This Row],[Basic Salary]]*12.5%</f>
        <v>447.33333333333331</v>
      </c>
      <c r="S457" s="2">
        <f>Employee_Data[[#This Row],[Annual Salary]]/12</f>
        <v>3578.6666666666665</v>
      </c>
    </row>
    <row r="458" spans="1:19" x14ac:dyDescent="0.3">
      <c r="A458" t="s">
        <v>994</v>
      </c>
      <c r="B458" t="s">
        <v>995</v>
      </c>
      <c r="C458" t="s">
        <v>29</v>
      </c>
      <c r="D458" t="s">
        <v>61</v>
      </c>
      <c r="E458" t="s">
        <v>36</v>
      </c>
      <c r="F458" t="s">
        <v>42</v>
      </c>
      <c r="G458" t="s">
        <v>43</v>
      </c>
      <c r="H458">
        <v>48</v>
      </c>
      <c r="I458" s="1">
        <v>42022</v>
      </c>
      <c r="J458" s="2">
        <v>43980</v>
      </c>
      <c r="K458" s="3">
        <v>0</v>
      </c>
      <c r="L458" t="s">
        <v>25</v>
      </c>
      <c r="M458" t="s">
        <v>26</v>
      </c>
      <c r="N458" s="2">
        <f>Employee_Data[[#This Row],[Basic Salary]]*10%</f>
        <v>366.5</v>
      </c>
      <c r="O458" s="4">
        <f>Employee_Data[[#This Row],[Basic Salary]]*7.5%</f>
        <v>274.875</v>
      </c>
      <c r="P458" s="2">
        <f>Employee_Data[[#This Row],[Basic Salary]]*3%</f>
        <v>109.95</v>
      </c>
      <c r="Q458" s="2">
        <f>SUM(Employee_Data[[#This Row],[Basic Salary]],Employee_Data[[#This Row],[HRA]],Employee_Data[[#This Row],[MA]],Employee_Data[[#This Row],[TA]])</f>
        <v>4416.3249999999998</v>
      </c>
      <c r="R458" s="4">
        <f>Employee_Data[[#This Row],[Basic Salary]]*12.5%</f>
        <v>458.125</v>
      </c>
      <c r="S458" s="2">
        <f>Employee_Data[[#This Row],[Annual Salary]]/12</f>
        <v>3665</v>
      </c>
    </row>
    <row r="459" spans="1:19" x14ac:dyDescent="0.3">
      <c r="A459" t="s">
        <v>996</v>
      </c>
      <c r="B459" t="s">
        <v>997</v>
      </c>
      <c r="C459" t="s">
        <v>69</v>
      </c>
      <c r="D459" t="s">
        <v>80</v>
      </c>
      <c r="E459" t="s">
        <v>31</v>
      </c>
      <c r="F459" t="s">
        <v>42</v>
      </c>
      <c r="G459" t="s">
        <v>24</v>
      </c>
      <c r="H459">
        <v>33</v>
      </c>
      <c r="I459" s="1">
        <v>41963</v>
      </c>
      <c r="J459" s="2">
        <v>109533</v>
      </c>
      <c r="K459" s="3">
        <v>0.05</v>
      </c>
      <c r="L459" t="s">
        <v>37</v>
      </c>
      <c r="M459" t="s">
        <v>62</v>
      </c>
      <c r="N459" s="2">
        <f>Employee_Data[[#This Row],[Basic Salary]]*10%</f>
        <v>912.77500000000009</v>
      </c>
      <c r="O459" s="4">
        <f>Employee_Data[[#This Row],[Basic Salary]]*7.5%</f>
        <v>684.58124999999995</v>
      </c>
      <c r="P459" s="2">
        <f>Employee_Data[[#This Row],[Basic Salary]]*3%</f>
        <v>273.83249999999998</v>
      </c>
      <c r="Q459" s="2">
        <f>SUM(Employee_Data[[#This Row],[Basic Salary]],Employee_Data[[#This Row],[HRA]],Employee_Data[[#This Row],[MA]],Employee_Data[[#This Row],[TA]])</f>
        <v>10998.938749999999</v>
      </c>
      <c r="R459" s="4">
        <f>Employee_Data[[#This Row],[Basic Salary]]*12.5%</f>
        <v>1140.96875</v>
      </c>
      <c r="S459" s="2">
        <f>Employee_Data[[#This Row],[Annual Salary]]/12</f>
        <v>9127.75</v>
      </c>
    </row>
    <row r="460" spans="1:19" x14ac:dyDescent="0.3">
      <c r="A460" t="s">
        <v>998</v>
      </c>
      <c r="B460" t="s">
        <v>999</v>
      </c>
      <c r="C460" t="s">
        <v>89</v>
      </c>
      <c r="D460" t="s">
        <v>55</v>
      </c>
      <c r="E460" t="s">
        <v>36</v>
      </c>
      <c r="F460" t="s">
        <v>42</v>
      </c>
      <c r="G460" t="s">
        <v>66</v>
      </c>
      <c r="H460">
        <v>56</v>
      </c>
      <c r="I460" s="1">
        <v>39659</v>
      </c>
      <c r="J460" s="2">
        <v>226952</v>
      </c>
      <c r="K460" s="3">
        <v>0.39</v>
      </c>
      <c r="L460" t="s">
        <v>25</v>
      </c>
      <c r="M460" t="s">
        <v>70</v>
      </c>
      <c r="N460" s="2">
        <f>Employee_Data[[#This Row],[Basic Salary]]*10%</f>
        <v>1891.2666666666669</v>
      </c>
      <c r="O460" s="4">
        <f>Employee_Data[[#This Row],[Basic Salary]]*7.5%</f>
        <v>1418.45</v>
      </c>
      <c r="P460" s="2">
        <f>Employee_Data[[#This Row],[Basic Salary]]*3%</f>
        <v>567.38</v>
      </c>
      <c r="Q460" s="2">
        <f>SUM(Employee_Data[[#This Row],[Basic Salary]],Employee_Data[[#This Row],[HRA]],Employee_Data[[#This Row],[MA]],Employee_Data[[#This Row],[TA]])</f>
        <v>22789.763333333336</v>
      </c>
      <c r="R460" s="4">
        <f>Employee_Data[[#This Row],[Basic Salary]]*12.5%</f>
        <v>2364.0833333333335</v>
      </c>
      <c r="S460" s="2">
        <f>Employee_Data[[#This Row],[Annual Salary]]/12</f>
        <v>18912.666666666668</v>
      </c>
    </row>
    <row r="461" spans="1:19" x14ac:dyDescent="0.3">
      <c r="A461" t="s">
        <v>1000</v>
      </c>
      <c r="B461" t="s">
        <v>1001</v>
      </c>
      <c r="C461" t="s">
        <v>65</v>
      </c>
      <c r="D461" t="s">
        <v>4</v>
      </c>
      <c r="E461" t="s">
        <v>22</v>
      </c>
      <c r="F461" t="s">
        <v>42</v>
      </c>
      <c r="G461" t="s">
        <v>43</v>
      </c>
      <c r="H461">
        <v>59</v>
      </c>
      <c r="I461" s="1">
        <v>39413</v>
      </c>
      <c r="J461" s="2">
        <v>71580</v>
      </c>
      <c r="K461" s="3">
        <v>0</v>
      </c>
      <c r="L461" t="s">
        <v>25</v>
      </c>
      <c r="M461" t="s">
        <v>44</v>
      </c>
      <c r="N461" s="2">
        <f>Employee_Data[[#This Row],[Basic Salary]]*10%</f>
        <v>596.5</v>
      </c>
      <c r="O461" s="4">
        <f>Employee_Data[[#This Row],[Basic Salary]]*7.5%</f>
        <v>447.375</v>
      </c>
      <c r="P461" s="2">
        <f>Employee_Data[[#This Row],[Basic Salary]]*3%</f>
        <v>178.95</v>
      </c>
      <c r="Q461" s="2">
        <f>SUM(Employee_Data[[#This Row],[Basic Salary]],Employee_Data[[#This Row],[HRA]],Employee_Data[[#This Row],[MA]],Employee_Data[[#This Row],[TA]])</f>
        <v>7187.8249999999998</v>
      </c>
      <c r="R461" s="4">
        <f>Employee_Data[[#This Row],[Basic Salary]]*12.5%</f>
        <v>745.625</v>
      </c>
      <c r="S461" s="2">
        <f>Employee_Data[[#This Row],[Annual Salary]]/12</f>
        <v>5965</v>
      </c>
    </row>
    <row r="462" spans="1:19" x14ac:dyDescent="0.3">
      <c r="A462" t="s">
        <v>1002</v>
      </c>
      <c r="B462" t="s">
        <v>1003</v>
      </c>
      <c r="C462" t="s">
        <v>60</v>
      </c>
      <c r="D462" t="s">
        <v>61</v>
      </c>
      <c r="E462" t="s">
        <v>22</v>
      </c>
      <c r="F462" t="s">
        <v>23</v>
      </c>
      <c r="G462" t="s">
        <v>43</v>
      </c>
      <c r="H462">
        <v>55</v>
      </c>
      <c r="I462" s="1">
        <v>41229</v>
      </c>
      <c r="J462" s="2">
        <v>66172</v>
      </c>
      <c r="K462" s="3">
        <v>0</v>
      </c>
      <c r="L462" t="s">
        <v>137</v>
      </c>
      <c r="M462" t="s">
        <v>289</v>
      </c>
      <c r="N462" s="2">
        <f>Employee_Data[[#This Row],[Basic Salary]]*10%</f>
        <v>551.43333333333328</v>
      </c>
      <c r="O462" s="4">
        <f>Employee_Data[[#This Row],[Basic Salary]]*7.5%</f>
        <v>413.57499999999999</v>
      </c>
      <c r="P462" s="2">
        <f>Employee_Data[[#This Row],[Basic Salary]]*3%</f>
        <v>165.42999999999998</v>
      </c>
      <c r="Q462" s="2">
        <f>SUM(Employee_Data[[#This Row],[Basic Salary]],Employee_Data[[#This Row],[HRA]],Employee_Data[[#This Row],[MA]],Employee_Data[[#This Row],[TA]])</f>
        <v>6644.7716666666665</v>
      </c>
      <c r="R462" s="4">
        <f>Employee_Data[[#This Row],[Basic Salary]]*12.5%</f>
        <v>689.29166666666663</v>
      </c>
      <c r="S462" s="2">
        <f>Employee_Data[[#This Row],[Annual Salary]]/12</f>
        <v>5514.333333333333</v>
      </c>
    </row>
    <row r="463" spans="1:19" x14ac:dyDescent="0.3">
      <c r="A463" t="s">
        <v>1004</v>
      </c>
      <c r="B463" t="s">
        <v>1005</v>
      </c>
      <c r="C463" t="s">
        <v>89</v>
      </c>
      <c r="D463" t="s">
        <v>80</v>
      </c>
      <c r="E463" t="s">
        <v>36</v>
      </c>
      <c r="F463" t="s">
        <v>42</v>
      </c>
      <c r="G463" t="s">
        <v>24</v>
      </c>
      <c r="H463">
        <v>46</v>
      </c>
      <c r="I463" s="1">
        <v>43308</v>
      </c>
      <c r="J463" s="2">
        <v>237489</v>
      </c>
      <c r="K463" s="3">
        <v>0.3</v>
      </c>
      <c r="L463" t="s">
        <v>25</v>
      </c>
      <c r="M463" t="s">
        <v>32</v>
      </c>
      <c r="N463" s="2">
        <f>Employee_Data[[#This Row],[Basic Salary]]*10%</f>
        <v>1979.075</v>
      </c>
      <c r="O463" s="4">
        <f>Employee_Data[[#This Row],[Basic Salary]]*7.5%</f>
        <v>1484.3062499999999</v>
      </c>
      <c r="P463" s="2">
        <f>Employee_Data[[#This Row],[Basic Salary]]*3%</f>
        <v>593.72249999999997</v>
      </c>
      <c r="Q463" s="2">
        <f>SUM(Employee_Data[[#This Row],[Basic Salary]],Employee_Data[[#This Row],[HRA]],Employee_Data[[#This Row],[MA]],Employee_Data[[#This Row],[TA]])</f>
        <v>23847.853750000002</v>
      </c>
      <c r="R463" s="4">
        <f>Employee_Data[[#This Row],[Basic Salary]]*12.5%</f>
        <v>2473.84375</v>
      </c>
      <c r="S463" s="2">
        <f>Employee_Data[[#This Row],[Annual Salary]]/12</f>
        <v>19790.75</v>
      </c>
    </row>
    <row r="464" spans="1:19" x14ac:dyDescent="0.3">
      <c r="A464" t="s">
        <v>1006</v>
      </c>
      <c r="B464" t="s">
        <v>1007</v>
      </c>
      <c r="C464" t="s">
        <v>29</v>
      </c>
      <c r="D464" t="s">
        <v>80</v>
      </c>
      <c r="E464" t="s">
        <v>56</v>
      </c>
      <c r="F464" t="s">
        <v>42</v>
      </c>
      <c r="G464" t="s">
        <v>24</v>
      </c>
      <c r="H464">
        <v>50</v>
      </c>
      <c r="I464" s="1">
        <v>36666</v>
      </c>
      <c r="J464" s="2">
        <v>48733</v>
      </c>
      <c r="K464" s="3">
        <v>0</v>
      </c>
      <c r="L464" t="s">
        <v>25</v>
      </c>
      <c r="M464" t="s">
        <v>44</v>
      </c>
      <c r="N464" s="2">
        <f>Employee_Data[[#This Row],[Basic Salary]]*10%</f>
        <v>406.10833333333335</v>
      </c>
      <c r="O464" s="4">
        <f>Employee_Data[[#This Row],[Basic Salary]]*7.5%</f>
        <v>304.58125000000001</v>
      </c>
      <c r="P464" s="2">
        <f>Employee_Data[[#This Row],[Basic Salary]]*3%</f>
        <v>121.8325</v>
      </c>
      <c r="Q464" s="2">
        <f>SUM(Employee_Data[[#This Row],[Basic Salary]],Employee_Data[[#This Row],[HRA]],Employee_Data[[#This Row],[MA]],Employee_Data[[#This Row],[TA]])</f>
        <v>4893.6054166666672</v>
      </c>
      <c r="R464" s="4">
        <f>Employee_Data[[#This Row],[Basic Salary]]*12.5%</f>
        <v>507.63541666666669</v>
      </c>
      <c r="S464" s="2">
        <f>Employee_Data[[#This Row],[Annual Salary]]/12</f>
        <v>4061.0833333333335</v>
      </c>
    </row>
    <row r="465" spans="1:19" x14ac:dyDescent="0.3">
      <c r="A465" t="s">
        <v>1008</v>
      </c>
      <c r="B465" t="s">
        <v>1009</v>
      </c>
      <c r="C465" t="s">
        <v>29</v>
      </c>
      <c r="D465" t="s">
        <v>30</v>
      </c>
      <c r="E465" t="s">
        <v>31</v>
      </c>
      <c r="F465" t="s">
        <v>42</v>
      </c>
      <c r="G465" t="s">
        <v>24</v>
      </c>
      <c r="H465">
        <v>29</v>
      </c>
      <c r="I465" s="1">
        <v>42939</v>
      </c>
      <c r="J465" s="2">
        <v>48563</v>
      </c>
      <c r="K465" s="3">
        <v>0</v>
      </c>
      <c r="L465" t="s">
        <v>37</v>
      </c>
      <c r="M465" t="s">
        <v>38</v>
      </c>
      <c r="N465" s="2">
        <f>Employee_Data[[#This Row],[Basic Salary]]*10%</f>
        <v>404.69166666666666</v>
      </c>
      <c r="O465" s="4">
        <f>Employee_Data[[#This Row],[Basic Salary]]*7.5%</f>
        <v>303.51874999999995</v>
      </c>
      <c r="P465" s="2">
        <f>Employee_Data[[#This Row],[Basic Salary]]*3%</f>
        <v>121.40749999999998</v>
      </c>
      <c r="Q465" s="2">
        <f>SUM(Employee_Data[[#This Row],[Basic Salary]],Employee_Data[[#This Row],[HRA]],Employee_Data[[#This Row],[MA]],Employee_Data[[#This Row],[TA]])</f>
        <v>4876.534583333334</v>
      </c>
      <c r="R465" s="4">
        <f>Employee_Data[[#This Row],[Basic Salary]]*12.5%</f>
        <v>505.86458333333331</v>
      </c>
      <c r="S465" s="2">
        <f>Employee_Data[[#This Row],[Annual Salary]]/12</f>
        <v>4046.9166666666665</v>
      </c>
    </row>
    <row r="466" spans="1:19" x14ac:dyDescent="0.3">
      <c r="A466" t="s">
        <v>1010</v>
      </c>
      <c r="B466" t="s">
        <v>1011</v>
      </c>
      <c r="C466" t="s">
        <v>164</v>
      </c>
      <c r="D466" t="s">
        <v>4</v>
      </c>
      <c r="E466" t="s">
        <v>22</v>
      </c>
      <c r="F466" t="s">
        <v>23</v>
      </c>
      <c r="G466" t="s">
        <v>24</v>
      </c>
      <c r="H466">
        <v>57</v>
      </c>
      <c r="I466" s="1">
        <v>38286</v>
      </c>
      <c r="J466" s="2">
        <v>86592</v>
      </c>
      <c r="K466" s="3">
        <v>0</v>
      </c>
      <c r="L466" t="s">
        <v>37</v>
      </c>
      <c r="M466" t="s">
        <v>57</v>
      </c>
      <c r="N466" s="2">
        <f>Employee_Data[[#This Row],[Basic Salary]]*10%</f>
        <v>721.6</v>
      </c>
      <c r="O466" s="4">
        <f>Employee_Data[[#This Row],[Basic Salary]]*7.5%</f>
        <v>541.19999999999993</v>
      </c>
      <c r="P466" s="2">
        <f>Employee_Data[[#This Row],[Basic Salary]]*3%</f>
        <v>216.48</v>
      </c>
      <c r="Q466" s="2">
        <f>SUM(Employee_Data[[#This Row],[Basic Salary]],Employee_Data[[#This Row],[HRA]],Employee_Data[[#This Row],[MA]],Employee_Data[[#This Row],[TA]])</f>
        <v>8695.2800000000007</v>
      </c>
      <c r="R466" s="4">
        <f>Employee_Data[[#This Row],[Basic Salary]]*12.5%</f>
        <v>902</v>
      </c>
      <c r="S466" s="2">
        <f>Employee_Data[[#This Row],[Annual Salary]]/12</f>
        <v>7216</v>
      </c>
    </row>
    <row r="467" spans="1:19" x14ac:dyDescent="0.3">
      <c r="A467" t="s">
        <v>1012</v>
      </c>
      <c r="B467" t="s">
        <v>1013</v>
      </c>
      <c r="C467" t="s">
        <v>89</v>
      </c>
      <c r="D467" t="s">
        <v>61</v>
      </c>
      <c r="E467" t="s">
        <v>36</v>
      </c>
      <c r="F467" t="s">
        <v>42</v>
      </c>
      <c r="G467" t="s">
        <v>66</v>
      </c>
      <c r="H467">
        <v>39</v>
      </c>
      <c r="I467" s="1">
        <v>40784</v>
      </c>
      <c r="J467" s="2">
        <v>189823</v>
      </c>
      <c r="K467" s="3">
        <v>0.38</v>
      </c>
      <c r="L467" t="s">
        <v>25</v>
      </c>
      <c r="M467" t="s">
        <v>26</v>
      </c>
      <c r="N467" s="2">
        <f>Employee_Data[[#This Row],[Basic Salary]]*10%</f>
        <v>1581.8583333333336</v>
      </c>
      <c r="O467" s="4">
        <f>Employee_Data[[#This Row],[Basic Salary]]*7.5%</f>
        <v>1186.39375</v>
      </c>
      <c r="P467" s="2">
        <f>Employee_Data[[#This Row],[Basic Salary]]*3%</f>
        <v>474.5575</v>
      </c>
      <c r="Q467" s="2">
        <f>SUM(Employee_Data[[#This Row],[Basic Salary]],Employee_Data[[#This Row],[HRA]],Employee_Data[[#This Row],[MA]],Employee_Data[[#This Row],[TA]])</f>
        <v>19061.392916666664</v>
      </c>
      <c r="R467" s="4">
        <f>Employee_Data[[#This Row],[Basic Salary]]*12.5%</f>
        <v>1977.3229166666667</v>
      </c>
      <c r="S467" s="2">
        <f>Employee_Data[[#This Row],[Annual Salary]]/12</f>
        <v>15818.583333333334</v>
      </c>
    </row>
    <row r="468" spans="1:19" x14ac:dyDescent="0.3">
      <c r="A468" t="s">
        <v>1014</v>
      </c>
      <c r="B468" t="s">
        <v>1015</v>
      </c>
      <c r="C468" t="s">
        <v>173</v>
      </c>
      <c r="D468" t="s">
        <v>4</v>
      </c>
      <c r="E468" t="s">
        <v>31</v>
      </c>
      <c r="F468" t="s">
        <v>23</v>
      </c>
      <c r="G468" t="s">
        <v>84</v>
      </c>
      <c r="H468">
        <v>40</v>
      </c>
      <c r="I468" s="1">
        <v>44739</v>
      </c>
      <c r="J468" s="2">
        <v>65075</v>
      </c>
      <c r="K468" s="3">
        <v>0</v>
      </c>
      <c r="L468" t="s">
        <v>25</v>
      </c>
      <c r="M468" t="s">
        <v>51</v>
      </c>
      <c r="N468" s="2">
        <f>Employee_Data[[#This Row],[Basic Salary]]*10%</f>
        <v>542.29166666666674</v>
      </c>
      <c r="O468" s="4">
        <f>Employee_Data[[#This Row],[Basic Salary]]*7.5%</f>
        <v>406.71875</v>
      </c>
      <c r="P468" s="2">
        <f>Employee_Data[[#This Row],[Basic Salary]]*3%</f>
        <v>162.6875</v>
      </c>
      <c r="Q468" s="2">
        <f>SUM(Employee_Data[[#This Row],[Basic Salary]],Employee_Data[[#This Row],[HRA]],Employee_Data[[#This Row],[MA]],Employee_Data[[#This Row],[TA]])</f>
        <v>6534.6145833333339</v>
      </c>
      <c r="R468" s="4">
        <f>Employee_Data[[#This Row],[Basic Salary]]*12.5%</f>
        <v>677.86458333333337</v>
      </c>
      <c r="S468" s="2">
        <f>Employee_Data[[#This Row],[Annual Salary]]/12</f>
        <v>5422.916666666667</v>
      </c>
    </row>
    <row r="469" spans="1:19" x14ac:dyDescent="0.3">
      <c r="A469" t="s">
        <v>1016</v>
      </c>
      <c r="B469" t="s">
        <v>1017</v>
      </c>
      <c r="C469" t="s">
        <v>89</v>
      </c>
      <c r="D469" t="s">
        <v>126</v>
      </c>
      <c r="E469" t="s">
        <v>56</v>
      </c>
      <c r="F469" t="s">
        <v>23</v>
      </c>
      <c r="G469" t="s">
        <v>43</v>
      </c>
      <c r="H469">
        <v>33</v>
      </c>
      <c r="I469" s="1">
        <v>43229</v>
      </c>
      <c r="J469" s="2">
        <v>187917</v>
      </c>
      <c r="K469" s="3">
        <v>0.35</v>
      </c>
      <c r="L469" t="s">
        <v>25</v>
      </c>
      <c r="M469" t="s">
        <v>32</v>
      </c>
      <c r="N469" s="2">
        <f>Employee_Data[[#This Row],[Basic Salary]]*10%</f>
        <v>1565.9750000000001</v>
      </c>
      <c r="O469" s="4">
        <f>Employee_Data[[#This Row],[Basic Salary]]*7.5%</f>
        <v>1174.48125</v>
      </c>
      <c r="P469" s="2">
        <f>Employee_Data[[#This Row],[Basic Salary]]*3%</f>
        <v>469.79249999999996</v>
      </c>
      <c r="Q469" s="2">
        <f>SUM(Employee_Data[[#This Row],[Basic Salary]],Employee_Data[[#This Row],[HRA]],Employee_Data[[#This Row],[MA]],Employee_Data[[#This Row],[TA]])</f>
        <v>18869.998749999999</v>
      </c>
      <c r="R469" s="4">
        <f>Employee_Data[[#This Row],[Basic Salary]]*12.5%</f>
        <v>1957.46875</v>
      </c>
      <c r="S469" s="2">
        <f>Employee_Data[[#This Row],[Annual Salary]]/12</f>
        <v>15659.75</v>
      </c>
    </row>
    <row r="470" spans="1:19" x14ac:dyDescent="0.3">
      <c r="A470" t="s">
        <v>1018</v>
      </c>
      <c r="B470" t="s">
        <v>1019</v>
      </c>
      <c r="C470" t="s">
        <v>29</v>
      </c>
      <c r="D470" t="s">
        <v>30</v>
      </c>
      <c r="E470" t="s">
        <v>56</v>
      </c>
      <c r="F470" t="s">
        <v>42</v>
      </c>
      <c r="G470" t="s">
        <v>43</v>
      </c>
      <c r="H470">
        <v>49</v>
      </c>
      <c r="I470" s="1">
        <v>44124</v>
      </c>
      <c r="J470" s="2">
        <v>42242</v>
      </c>
      <c r="K470" s="3">
        <v>0</v>
      </c>
      <c r="L470" t="s">
        <v>137</v>
      </c>
      <c r="M470" t="s">
        <v>183</v>
      </c>
      <c r="N470" s="2">
        <f>Employee_Data[[#This Row],[Basic Salary]]*10%</f>
        <v>352.01666666666665</v>
      </c>
      <c r="O470" s="4">
        <f>Employee_Data[[#This Row],[Basic Salary]]*7.5%</f>
        <v>264.01249999999999</v>
      </c>
      <c r="P470" s="2">
        <f>Employee_Data[[#This Row],[Basic Salary]]*3%</f>
        <v>105.60499999999999</v>
      </c>
      <c r="Q470" s="2">
        <f>SUM(Employee_Data[[#This Row],[Basic Salary]],Employee_Data[[#This Row],[HRA]],Employee_Data[[#This Row],[MA]],Employee_Data[[#This Row],[TA]])</f>
        <v>4241.8008333333328</v>
      </c>
      <c r="R470" s="4">
        <f>Employee_Data[[#This Row],[Basic Salary]]*12.5%</f>
        <v>440.02083333333331</v>
      </c>
      <c r="S470" s="2">
        <f>Employee_Data[[#This Row],[Annual Salary]]/12</f>
        <v>3520.1666666666665</v>
      </c>
    </row>
    <row r="471" spans="1:19" x14ac:dyDescent="0.3">
      <c r="A471" t="s">
        <v>1020</v>
      </c>
      <c r="B471" t="s">
        <v>1021</v>
      </c>
      <c r="C471" t="s">
        <v>29</v>
      </c>
      <c r="D471" t="s">
        <v>30</v>
      </c>
      <c r="E471" t="s">
        <v>36</v>
      </c>
      <c r="F471" t="s">
        <v>23</v>
      </c>
      <c r="G471" t="s">
        <v>24</v>
      </c>
      <c r="H471">
        <v>54</v>
      </c>
      <c r="I471" s="1">
        <v>35833</v>
      </c>
      <c r="J471" s="2">
        <v>53931</v>
      </c>
      <c r="K471" s="3">
        <v>0</v>
      </c>
      <c r="L471" t="s">
        <v>25</v>
      </c>
      <c r="M471" t="s">
        <v>26</v>
      </c>
      <c r="N471" s="2">
        <f>Employee_Data[[#This Row],[Basic Salary]]*10%</f>
        <v>449.42500000000001</v>
      </c>
      <c r="O471" s="4">
        <f>Employee_Data[[#This Row],[Basic Salary]]*7.5%</f>
        <v>337.06874999999997</v>
      </c>
      <c r="P471" s="2">
        <f>Employee_Data[[#This Row],[Basic Salary]]*3%</f>
        <v>134.82749999999999</v>
      </c>
      <c r="Q471" s="2">
        <f>SUM(Employee_Data[[#This Row],[Basic Salary]],Employee_Data[[#This Row],[HRA]],Employee_Data[[#This Row],[MA]],Employee_Data[[#This Row],[TA]])</f>
        <v>5415.5712500000009</v>
      </c>
      <c r="R471" s="4">
        <f>Employee_Data[[#This Row],[Basic Salary]]*12.5%</f>
        <v>561.78125</v>
      </c>
      <c r="S471" s="2">
        <f>Employee_Data[[#This Row],[Annual Salary]]/12</f>
        <v>4494.25</v>
      </c>
    </row>
    <row r="472" spans="1:19" x14ac:dyDescent="0.3">
      <c r="A472" t="s">
        <v>1022</v>
      </c>
      <c r="B472" t="s">
        <v>1023</v>
      </c>
      <c r="C472" t="s">
        <v>83</v>
      </c>
      <c r="D472" t="s">
        <v>4</v>
      </c>
      <c r="E472" t="s">
        <v>31</v>
      </c>
      <c r="F472" t="s">
        <v>23</v>
      </c>
      <c r="G472" t="s">
        <v>24</v>
      </c>
      <c r="H472">
        <v>51</v>
      </c>
      <c r="I472" s="1">
        <v>38804</v>
      </c>
      <c r="J472" s="2">
        <v>140668</v>
      </c>
      <c r="K472" s="3">
        <v>0.12</v>
      </c>
      <c r="L472" t="s">
        <v>37</v>
      </c>
      <c r="M472" t="s">
        <v>62</v>
      </c>
      <c r="N472" s="2">
        <f>Employee_Data[[#This Row],[Basic Salary]]*10%</f>
        <v>1172.2333333333333</v>
      </c>
      <c r="O472" s="4">
        <f>Employee_Data[[#This Row],[Basic Salary]]*7.5%</f>
        <v>879.17500000000007</v>
      </c>
      <c r="P472" s="2">
        <f>Employee_Data[[#This Row],[Basic Salary]]*3%</f>
        <v>351.67</v>
      </c>
      <c r="Q472" s="2">
        <f>SUM(Employee_Data[[#This Row],[Basic Salary]],Employee_Data[[#This Row],[HRA]],Employee_Data[[#This Row],[MA]],Employee_Data[[#This Row],[TA]])</f>
        <v>14125.411666666667</v>
      </c>
      <c r="R472" s="4">
        <f>Employee_Data[[#This Row],[Basic Salary]]*12.5%</f>
        <v>1465.2916666666667</v>
      </c>
      <c r="S472" s="2">
        <f>Employee_Data[[#This Row],[Annual Salary]]/12</f>
        <v>11722.333333333334</v>
      </c>
    </row>
    <row r="473" spans="1:19" x14ac:dyDescent="0.3">
      <c r="A473" t="s">
        <v>1024</v>
      </c>
      <c r="B473" t="s">
        <v>1025</v>
      </c>
      <c r="C473" t="s">
        <v>29</v>
      </c>
      <c r="D473" t="s">
        <v>80</v>
      </c>
      <c r="E473" t="s">
        <v>36</v>
      </c>
      <c r="F473" t="s">
        <v>42</v>
      </c>
      <c r="G473" t="s">
        <v>66</v>
      </c>
      <c r="H473">
        <v>33</v>
      </c>
      <c r="I473" s="1">
        <v>43031</v>
      </c>
      <c r="J473" s="2">
        <v>53948</v>
      </c>
      <c r="K473" s="3">
        <v>0</v>
      </c>
      <c r="L473" t="s">
        <v>25</v>
      </c>
      <c r="M473" t="s">
        <v>51</v>
      </c>
      <c r="N473" s="2">
        <f>Employee_Data[[#This Row],[Basic Salary]]*10%</f>
        <v>449.56666666666672</v>
      </c>
      <c r="O473" s="4">
        <f>Employee_Data[[#This Row],[Basic Salary]]*7.5%</f>
        <v>337.17500000000001</v>
      </c>
      <c r="P473" s="2">
        <f>Employee_Data[[#This Row],[Basic Salary]]*3%</f>
        <v>134.87</v>
      </c>
      <c r="Q473" s="2">
        <f>SUM(Employee_Data[[#This Row],[Basic Salary]],Employee_Data[[#This Row],[HRA]],Employee_Data[[#This Row],[MA]],Employee_Data[[#This Row],[TA]])</f>
        <v>5417.2783333333336</v>
      </c>
      <c r="R473" s="4">
        <f>Employee_Data[[#This Row],[Basic Salary]]*12.5%</f>
        <v>561.95833333333337</v>
      </c>
      <c r="S473" s="2">
        <f>Employee_Data[[#This Row],[Annual Salary]]/12</f>
        <v>4495.666666666667</v>
      </c>
    </row>
    <row r="474" spans="1:19" x14ac:dyDescent="0.3">
      <c r="A474" t="s">
        <v>1026</v>
      </c>
      <c r="B474" t="s">
        <v>1027</v>
      </c>
      <c r="C474" t="s">
        <v>47</v>
      </c>
      <c r="D474" t="s">
        <v>4</v>
      </c>
      <c r="E474" t="s">
        <v>36</v>
      </c>
      <c r="F474" t="s">
        <v>23</v>
      </c>
      <c r="G474" t="s">
        <v>66</v>
      </c>
      <c r="H474">
        <v>34</v>
      </c>
      <c r="I474" s="1">
        <v>42837</v>
      </c>
      <c r="J474" s="2">
        <v>174257</v>
      </c>
      <c r="K474" s="3">
        <v>0.3</v>
      </c>
      <c r="L474" t="s">
        <v>25</v>
      </c>
      <c r="M474" t="s">
        <v>70</v>
      </c>
      <c r="N474" s="2">
        <f>Employee_Data[[#This Row],[Basic Salary]]*10%</f>
        <v>1452.1416666666667</v>
      </c>
      <c r="O474" s="4">
        <f>Employee_Data[[#This Row],[Basic Salary]]*7.5%</f>
        <v>1089.1062499999998</v>
      </c>
      <c r="P474" s="2">
        <f>Employee_Data[[#This Row],[Basic Salary]]*3%</f>
        <v>435.64249999999998</v>
      </c>
      <c r="Q474" s="2">
        <f>SUM(Employee_Data[[#This Row],[Basic Salary]],Employee_Data[[#This Row],[HRA]],Employee_Data[[#This Row],[MA]],Employee_Data[[#This Row],[TA]])</f>
        <v>17498.307083333333</v>
      </c>
      <c r="R474" s="4">
        <f>Employee_Data[[#This Row],[Basic Salary]]*12.5%</f>
        <v>1815.1770833333333</v>
      </c>
      <c r="S474" s="2">
        <f>Employee_Data[[#This Row],[Annual Salary]]/12</f>
        <v>14521.416666666666</v>
      </c>
    </row>
    <row r="475" spans="1:19" x14ac:dyDescent="0.3">
      <c r="A475" t="s">
        <v>1028</v>
      </c>
      <c r="B475" t="s">
        <v>1029</v>
      </c>
      <c r="C475" t="s">
        <v>83</v>
      </c>
      <c r="D475" t="s">
        <v>30</v>
      </c>
      <c r="E475" t="s">
        <v>31</v>
      </c>
      <c r="F475" t="s">
        <v>42</v>
      </c>
      <c r="G475" t="s">
        <v>43</v>
      </c>
      <c r="H475">
        <v>28</v>
      </c>
      <c r="I475" s="1">
        <v>43817</v>
      </c>
      <c r="J475" s="2">
        <v>132209</v>
      </c>
      <c r="K475" s="3">
        <v>0.14000000000000001</v>
      </c>
      <c r="L475" t="s">
        <v>137</v>
      </c>
      <c r="M475" t="s">
        <v>138</v>
      </c>
      <c r="N475" s="2">
        <f>Employee_Data[[#This Row],[Basic Salary]]*10%</f>
        <v>1101.7416666666666</v>
      </c>
      <c r="O475" s="4">
        <f>Employee_Data[[#This Row],[Basic Salary]]*7.5%</f>
        <v>826.30624999999998</v>
      </c>
      <c r="P475" s="2">
        <f>Employee_Data[[#This Row],[Basic Salary]]*3%</f>
        <v>330.52249999999998</v>
      </c>
      <c r="Q475" s="2">
        <f>SUM(Employee_Data[[#This Row],[Basic Salary]],Employee_Data[[#This Row],[HRA]],Employee_Data[[#This Row],[MA]],Employee_Data[[#This Row],[TA]])</f>
        <v>13275.987083333332</v>
      </c>
      <c r="R475" s="4">
        <f>Employee_Data[[#This Row],[Basic Salary]]*12.5%</f>
        <v>1377.1770833333333</v>
      </c>
      <c r="S475" s="2">
        <f>Employee_Data[[#This Row],[Annual Salary]]/12</f>
        <v>11017.416666666666</v>
      </c>
    </row>
    <row r="476" spans="1:19" x14ac:dyDescent="0.3">
      <c r="A476" t="s">
        <v>1030</v>
      </c>
      <c r="B476" t="s">
        <v>1031</v>
      </c>
      <c r="C476" t="s">
        <v>89</v>
      </c>
      <c r="D476" t="s">
        <v>80</v>
      </c>
      <c r="E476" t="s">
        <v>36</v>
      </c>
      <c r="F476" t="s">
        <v>42</v>
      </c>
      <c r="G476" t="s">
        <v>43</v>
      </c>
      <c r="H476">
        <v>34</v>
      </c>
      <c r="I476" s="1">
        <v>42932</v>
      </c>
      <c r="J476" s="2">
        <v>208883</v>
      </c>
      <c r="K476" s="3">
        <v>0.38</v>
      </c>
      <c r="L476" t="s">
        <v>25</v>
      </c>
      <c r="M476" t="s">
        <v>70</v>
      </c>
      <c r="N476" s="2">
        <f>Employee_Data[[#This Row],[Basic Salary]]*10%</f>
        <v>1740.6916666666668</v>
      </c>
      <c r="O476" s="4">
        <f>Employee_Data[[#This Row],[Basic Salary]]*7.5%</f>
        <v>1305.51875</v>
      </c>
      <c r="P476" s="2">
        <f>Employee_Data[[#This Row],[Basic Salary]]*3%</f>
        <v>522.20749999999998</v>
      </c>
      <c r="Q476" s="2">
        <f>SUM(Employee_Data[[#This Row],[Basic Salary]],Employee_Data[[#This Row],[HRA]],Employee_Data[[#This Row],[MA]],Employee_Data[[#This Row],[TA]])</f>
        <v>20975.334583333333</v>
      </c>
      <c r="R476" s="4">
        <f>Employee_Data[[#This Row],[Basic Salary]]*12.5%</f>
        <v>2175.8645833333335</v>
      </c>
      <c r="S476" s="2">
        <f>Employee_Data[[#This Row],[Annual Salary]]/12</f>
        <v>17406.916666666668</v>
      </c>
    </row>
    <row r="477" spans="1:19" x14ac:dyDescent="0.3">
      <c r="A477" t="s">
        <v>1032</v>
      </c>
      <c r="B477" t="s">
        <v>1033</v>
      </c>
      <c r="C477" t="s">
        <v>180</v>
      </c>
      <c r="D477" t="s">
        <v>4</v>
      </c>
      <c r="E477" t="s">
        <v>56</v>
      </c>
      <c r="F477" t="s">
        <v>42</v>
      </c>
      <c r="G477" t="s">
        <v>43</v>
      </c>
      <c r="H477">
        <v>39</v>
      </c>
      <c r="I477" s="1">
        <v>44686</v>
      </c>
      <c r="J477" s="2">
        <v>65957</v>
      </c>
      <c r="K477" s="3">
        <v>0.05</v>
      </c>
      <c r="L477" t="s">
        <v>137</v>
      </c>
      <c r="M477" t="s">
        <v>138</v>
      </c>
      <c r="N477" s="2">
        <f>Employee_Data[[#This Row],[Basic Salary]]*10%</f>
        <v>549.64166666666677</v>
      </c>
      <c r="O477" s="4">
        <f>Employee_Data[[#This Row],[Basic Salary]]*7.5%</f>
        <v>412.23124999999999</v>
      </c>
      <c r="P477" s="2">
        <f>Employee_Data[[#This Row],[Basic Salary]]*3%</f>
        <v>164.89250000000001</v>
      </c>
      <c r="Q477" s="2">
        <f>SUM(Employee_Data[[#This Row],[Basic Salary]],Employee_Data[[#This Row],[HRA]],Employee_Data[[#This Row],[MA]],Employee_Data[[#This Row],[TA]])</f>
        <v>6623.1820833333331</v>
      </c>
      <c r="R477" s="4">
        <f>Employee_Data[[#This Row],[Basic Salary]]*12.5%</f>
        <v>687.05208333333337</v>
      </c>
      <c r="S477" s="2">
        <f>Employee_Data[[#This Row],[Annual Salary]]/12</f>
        <v>5496.416666666667</v>
      </c>
    </row>
    <row r="478" spans="1:19" x14ac:dyDescent="0.3">
      <c r="A478" t="s">
        <v>1034</v>
      </c>
      <c r="B478" t="s">
        <v>1035</v>
      </c>
      <c r="C478" t="s">
        <v>69</v>
      </c>
      <c r="D478" t="s">
        <v>126</v>
      </c>
      <c r="E478" t="s">
        <v>56</v>
      </c>
      <c r="F478" t="s">
        <v>23</v>
      </c>
      <c r="G478" t="s">
        <v>24</v>
      </c>
      <c r="H478">
        <v>63</v>
      </c>
      <c r="I478" s="1">
        <v>38190</v>
      </c>
      <c r="J478" s="2">
        <v>106481</v>
      </c>
      <c r="K478" s="3">
        <v>0.05</v>
      </c>
      <c r="L478" t="s">
        <v>37</v>
      </c>
      <c r="M478" t="s">
        <v>111</v>
      </c>
      <c r="N478" s="2">
        <f>Employee_Data[[#This Row],[Basic Salary]]*10%</f>
        <v>887.3416666666667</v>
      </c>
      <c r="O478" s="4">
        <f>Employee_Data[[#This Row],[Basic Salary]]*7.5%</f>
        <v>665.50624999999991</v>
      </c>
      <c r="P478" s="2">
        <f>Employee_Data[[#This Row],[Basic Salary]]*3%</f>
        <v>266.20249999999999</v>
      </c>
      <c r="Q478" s="2">
        <f>SUM(Employee_Data[[#This Row],[Basic Salary]],Employee_Data[[#This Row],[HRA]],Employee_Data[[#This Row],[MA]],Employee_Data[[#This Row],[TA]])</f>
        <v>10692.467083333333</v>
      </c>
      <c r="R478" s="4">
        <f>Employee_Data[[#This Row],[Basic Salary]]*12.5%</f>
        <v>1109.1770833333333</v>
      </c>
      <c r="S478" s="2">
        <f>Employee_Data[[#This Row],[Annual Salary]]/12</f>
        <v>8873.4166666666661</v>
      </c>
    </row>
    <row r="479" spans="1:19" x14ac:dyDescent="0.3">
      <c r="A479" t="s">
        <v>1036</v>
      </c>
      <c r="B479" t="s">
        <v>1037</v>
      </c>
      <c r="C479" t="s">
        <v>89</v>
      </c>
      <c r="D479" t="s">
        <v>55</v>
      </c>
      <c r="E479" t="s">
        <v>22</v>
      </c>
      <c r="F479" t="s">
        <v>42</v>
      </c>
      <c r="G479" t="s">
        <v>24</v>
      </c>
      <c r="H479">
        <v>35</v>
      </c>
      <c r="I479" s="1">
        <v>44048</v>
      </c>
      <c r="J479" s="2">
        <v>218127</v>
      </c>
      <c r="K479" s="3">
        <v>0.37</v>
      </c>
      <c r="L479" t="s">
        <v>25</v>
      </c>
      <c r="M479" t="s">
        <v>32</v>
      </c>
      <c r="N479" s="2">
        <f>Employee_Data[[#This Row],[Basic Salary]]*10%</f>
        <v>1817.7250000000001</v>
      </c>
      <c r="O479" s="4">
        <f>Employee_Data[[#This Row],[Basic Salary]]*7.5%</f>
        <v>1363.29375</v>
      </c>
      <c r="P479" s="2">
        <f>Employee_Data[[#This Row],[Basic Salary]]*3%</f>
        <v>545.3175</v>
      </c>
      <c r="Q479" s="2">
        <f>SUM(Employee_Data[[#This Row],[Basic Salary]],Employee_Data[[#This Row],[HRA]],Employee_Data[[#This Row],[MA]],Employee_Data[[#This Row],[TA]])</f>
        <v>21903.58625</v>
      </c>
      <c r="R479" s="4">
        <f>Employee_Data[[#This Row],[Basic Salary]]*12.5%</f>
        <v>2272.15625</v>
      </c>
      <c r="S479" s="2">
        <f>Employee_Data[[#This Row],[Annual Salary]]/12</f>
        <v>18177.25</v>
      </c>
    </row>
    <row r="480" spans="1:19" x14ac:dyDescent="0.3">
      <c r="A480" t="s">
        <v>1038</v>
      </c>
      <c r="B480" t="s">
        <v>1039</v>
      </c>
      <c r="C480" t="s">
        <v>83</v>
      </c>
      <c r="D480" t="s">
        <v>4</v>
      </c>
      <c r="E480" t="s">
        <v>56</v>
      </c>
      <c r="F480" t="s">
        <v>23</v>
      </c>
      <c r="G480" t="s">
        <v>66</v>
      </c>
      <c r="H480">
        <v>44</v>
      </c>
      <c r="I480" s="1">
        <v>43693</v>
      </c>
      <c r="J480" s="2">
        <v>151481</v>
      </c>
      <c r="K480" s="3">
        <v>0.11</v>
      </c>
      <c r="L480" t="s">
        <v>25</v>
      </c>
      <c r="M480" t="s">
        <v>32</v>
      </c>
      <c r="N480" s="2">
        <f>Employee_Data[[#This Row],[Basic Salary]]*10%</f>
        <v>1262.3416666666667</v>
      </c>
      <c r="O480" s="4">
        <f>Employee_Data[[#This Row],[Basic Salary]]*7.5%</f>
        <v>946.75624999999991</v>
      </c>
      <c r="P480" s="2">
        <f>Employee_Data[[#This Row],[Basic Salary]]*3%</f>
        <v>378.70249999999999</v>
      </c>
      <c r="Q480" s="2">
        <f>SUM(Employee_Data[[#This Row],[Basic Salary]],Employee_Data[[#This Row],[HRA]],Employee_Data[[#This Row],[MA]],Employee_Data[[#This Row],[TA]])</f>
        <v>15211.217083333333</v>
      </c>
      <c r="R480" s="4">
        <f>Employee_Data[[#This Row],[Basic Salary]]*12.5%</f>
        <v>1577.9270833333333</v>
      </c>
      <c r="S480" s="2">
        <f>Employee_Data[[#This Row],[Annual Salary]]/12</f>
        <v>12623.416666666666</v>
      </c>
    </row>
    <row r="481" spans="1:19" x14ac:dyDescent="0.3">
      <c r="A481" t="s">
        <v>1040</v>
      </c>
      <c r="B481" t="s">
        <v>1041</v>
      </c>
      <c r="C481" t="s">
        <v>29</v>
      </c>
      <c r="D481" t="s">
        <v>30</v>
      </c>
      <c r="E481" t="s">
        <v>36</v>
      </c>
      <c r="F481" t="s">
        <v>42</v>
      </c>
      <c r="G481" t="s">
        <v>24</v>
      </c>
      <c r="H481">
        <v>37</v>
      </c>
      <c r="I481" s="1">
        <v>42802</v>
      </c>
      <c r="J481" s="2">
        <v>40508</v>
      </c>
      <c r="K481" s="3">
        <v>0</v>
      </c>
      <c r="L481" t="s">
        <v>37</v>
      </c>
      <c r="M481" t="s">
        <v>111</v>
      </c>
      <c r="N481" s="2">
        <f>Employee_Data[[#This Row],[Basic Salary]]*10%</f>
        <v>337.56666666666666</v>
      </c>
      <c r="O481" s="4">
        <f>Employee_Data[[#This Row],[Basic Salary]]*7.5%</f>
        <v>253.17499999999998</v>
      </c>
      <c r="P481" s="2">
        <f>Employee_Data[[#This Row],[Basic Salary]]*3%</f>
        <v>101.27</v>
      </c>
      <c r="Q481" s="2">
        <f>SUM(Employee_Data[[#This Row],[Basic Salary]],Employee_Data[[#This Row],[HRA]],Employee_Data[[#This Row],[MA]],Employee_Data[[#This Row],[TA]])</f>
        <v>4067.6783333333333</v>
      </c>
      <c r="R481" s="4">
        <f>Employee_Data[[#This Row],[Basic Salary]]*12.5%</f>
        <v>421.95833333333331</v>
      </c>
      <c r="S481" s="2">
        <f>Employee_Data[[#This Row],[Annual Salary]]/12</f>
        <v>3375.6666666666665</v>
      </c>
    </row>
    <row r="482" spans="1:19" x14ac:dyDescent="0.3">
      <c r="A482" t="s">
        <v>1042</v>
      </c>
      <c r="B482" t="s">
        <v>1043</v>
      </c>
      <c r="C482" t="s">
        <v>89</v>
      </c>
      <c r="D482" t="s">
        <v>55</v>
      </c>
      <c r="E482" t="s">
        <v>36</v>
      </c>
      <c r="F482" t="s">
        <v>42</v>
      </c>
      <c r="G482" t="s">
        <v>24</v>
      </c>
      <c r="H482">
        <v>45</v>
      </c>
      <c r="I482" s="1">
        <v>37457</v>
      </c>
      <c r="J482" s="2">
        <v>200481</v>
      </c>
      <c r="K482" s="3">
        <v>0.3</v>
      </c>
      <c r="L482" t="s">
        <v>25</v>
      </c>
      <c r="M482" t="s">
        <v>26</v>
      </c>
      <c r="N482" s="2">
        <f>Employee_Data[[#This Row],[Basic Salary]]*10%</f>
        <v>1670.6750000000002</v>
      </c>
      <c r="O482" s="4">
        <f>Employee_Data[[#This Row],[Basic Salary]]*7.5%</f>
        <v>1253.0062499999999</v>
      </c>
      <c r="P482" s="2">
        <f>Employee_Data[[#This Row],[Basic Salary]]*3%</f>
        <v>501.20249999999999</v>
      </c>
      <c r="Q482" s="2">
        <f>SUM(Employee_Data[[#This Row],[Basic Salary]],Employee_Data[[#This Row],[HRA]],Employee_Data[[#This Row],[MA]],Employee_Data[[#This Row],[TA]])</f>
        <v>20131.633749999997</v>
      </c>
      <c r="R482" s="4">
        <f>Employee_Data[[#This Row],[Basic Salary]]*12.5%</f>
        <v>2088.34375</v>
      </c>
      <c r="S482" s="2">
        <f>Employee_Data[[#This Row],[Annual Salary]]/12</f>
        <v>16706.75</v>
      </c>
    </row>
    <row r="483" spans="1:19" x14ac:dyDescent="0.3">
      <c r="A483" t="s">
        <v>1044</v>
      </c>
      <c r="B483" t="s">
        <v>1045</v>
      </c>
      <c r="C483" t="s">
        <v>89</v>
      </c>
      <c r="D483" t="s">
        <v>61</v>
      </c>
      <c r="E483" t="s">
        <v>22</v>
      </c>
      <c r="F483" t="s">
        <v>42</v>
      </c>
      <c r="G483" t="s">
        <v>43</v>
      </c>
      <c r="H483">
        <v>65</v>
      </c>
      <c r="I483" s="1">
        <v>37610</v>
      </c>
      <c r="J483" s="2">
        <v>224872</v>
      </c>
      <c r="K483" s="3">
        <v>0.39</v>
      </c>
      <c r="L483" t="s">
        <v>137</v>
      </c>
      <c r="M483" t="s">
        <v>183</v>
      </c>
      <c r="N483" s="2">
        <f>Employee_Data[[#This Row],[Basic Salary]]*10%</f>
        <v>1873.9333333333334</v>
      </c>
      <c r="O483" s="4">
        <f>Employee_Data[[#This Row],[Basic Salary]]*7.5%</f>
        <v>1405.4499999999998</v>
      </c>
      <c r="P483" s="2">
        <f>Employee_Data[[#This Row],[Basic Salary]]*3%</f>
        <v>562.17999999999995</v>
      </c>
      <c r="Q483" s="2">
        <f>SUM(Employee_Data[[#This Row],[Basic Salary]],Employee_Data[[#This Row],[HRA]],Employee_Data[[#This Row],[MA]],Employee_Data[[#This Row],[TA]])</f>
        <v>22580.896666666667</v>
      </c>
      <c r="R483" s="4">
        <f>Employee_Data[[#This Row],[Basic Salary]]*12.5%</f>
        <v>2342.4166666666665</v>
      </c>
      <c r="S483" s="2">
        <f>Employee_Data[[#This Row],[Annual Salary]]/12</f>
        <v>18739.333333333332</v>
      </c>
    </row>
    <row r="484" spans="1:19" x14ac:dyDescent="0.3">
      <c r="A484" t="s">
        <v>1046</v>
      </c>
      <c r="B484" t="s">
        <v>1047</v>
      </c>
      <c r="C484" t="s">
        <v>83</v>
      </c>
      <c r="D484" t="s">
        <v>126</v>
      </c>
      <c r="E484" t="s">
        <v>36</v>
      </c>
      <c r="F484" t="s">
        <v>23</v>
      </c>
      <c r="G484" t="s">
        <v>84</v>
      </c>
      <c r="H484">
        <v>65</v>
      </c>
      <c r="I484" s="1">
        <v>39391</v>
      </c>
      <c r="J484" s="2">
        <v>149474</v>
      </c>
      <c r="K484" s="3">
        <v>0.14000000000000001</v>
      </c>
      <c r="L484" t="s">
        <v>25</v>
      </c>
      <c r="M484" t="s">
        <v>51</v>
      </c>
      <c r="N484" s="2">
        <f>Employee_Data[[#This Row],[Basic Salary]]*10%</f>
        <v>1245.6166666666668</v>
      </c>
      <c r="O484" s="4">
        <f>Employee_Data[[#This Row],[Basic Salary]]*7.5%</f>
        <v>934.21249999999986</v>
      </c>
      <c r="P484" s="2">
        <f>Employee_Data[[#This Row],[Basic Salary]]*3%</f>
        <v>373.68499999999995</v>
      </c>
      <c r="Q484" s="2">
        <f>SUM(Employee_Data[[#This Row],[Basic Salary]],Employee_Data[[#This Row],[HRA]],Employee_Data[[#This Row],[MA]],Employee_Data[[#This Row],[TA]])</f>
        <v>15009.680833333332</v>
      </c>
      <c r="R484" s="4">
        <f>Employee_Data[[#This Row],[Basic Salary]]*12.5%</f>
        <v>1557.0208333333333</v>
      </c>
      <c r="S484" s="2">
        <f>Employee_Data[[#This Row],[Annual Salary]]/12</f>
        <v>12456.166666666666</v>
      </c>
    </row>
    <row r="485" spans="1:19" x14ac:dyDescent="0.3">
      <c r="A485" t="s">
        <v>1048</v>
      </c>
      <c r="B485" t="s">
        <v>1049</v>
      </c>
      <c r="C485" t="s">
        <v>134</v>
      </c>
      <c r="D485" t="s">
        <v>21</v>
      </c>
      <c r="E485" t="s">
        <v>36</v>
      </c>
      <c r="F485" t="s">
        <v>42</v>
      </c>
      <c r="G485" t="s">
        <v>43</v>
      </c>
      <c r="H485">
        <v>63</v>
      </c>
      <c r="I485" s="1">
        <v>37305</v>
      </c>
      <c r="J485" s="2">
        <v>86820</v>
      </c>
      <c r="K485" s="3">
        <v>0</v>
      </c>
      <c r="L485" t="s">
        <v>25</v>
      </c>
      <c r="M485" t="s">
        <v>32</v>
      </c>
      <c r="N485" s="2">
        <f>Employee_Data[[#This Row],[Basic Salary]]*10%</f>
        <v>723.5</v>
      </c>
      <c r="O485" s="4">
        <f>Employee_Data[[#This Row],[Basic Salary]]*7.5%</f>
        <v>542.625</v>
      </c>
      <c r="P485" s="2">
        <f>Employee_Data[[#This Row],[Basic Salary]]*3%</f>
        <v>217.04999999999998</v>
      </c>
      <c r="Q485" s="2">
        <f>SUM(Employee_Data[[#This Row],[Basic Salary]],Employee_Data[[#This Row],[HRA]],Employee_Data[[#This Row],[MA]],Employee_Data[[#This Row],[TA]])</f>
        <v>8718.1749999999993</v>
      </c>
      <c r="R485" s="4">
        <f>Employee_Data[[#This Row],[Basic Salary]]*12.5%</f>
        <v>904.375</v>
      </c>
      <c r="S485" s="2">
        <f>Employee_Data[[#This Row],[Annual Salary]]/12</f>
        <v>7235</v>
      </c>
    </row>
    <row r="486" spans="1:19" x14ac:dyDescent="0.3">
      <c r="A486" t="s">
        <v>1050</v>
      </c>
      <c r="B486" t="s">
        <v>1051</v>
      </c>
      <c r="C486" t="s">
        <v>47</v>
      </c>
      <c r="D486" t="s">
        <v>61</v>
      </c>
      <c r="E486" t="s">
        <v>22</v>
      </c>
      <c r="F486" t="s">
        <v>42</v>
      </c>
      <c r="G486" t="s">
        <v>24</v>
      </c>
      <c r="H486">
        <v>55</v>
      </c>
      <c r="I486" s="1">
        <v>34646</v>
      </c>
      <c r="J486" s="2">
        <v>184078</v>
      </c>
      <c r="K486" s="3">
        <v>0.28000000000000003</v>
      </c>
      <c r="L486" t="s">
        <v>37</v>
      </c>
      <c r="M486" t="s">
        <v>38</v>
      </c>
      <c r="N486" s="2">
        <f>Employee_Data[[#This Row],[Basic Salary]]*10%</f>
        <v>1533.9833333333336</v>
      </c>
      <c r="O486" s="4">
        <f>Employee_Data[[#This Row],[Basic Salary]]*7.5%</f>
        <v>1150.4875</v>
      </c>
      <c r="P486" s="2">
        <f>Employee_Data[[#This Row],[Basic Salary]]*3%</f>
        <v>460.19499999999999</v>
      </c>
      <c r="Q486" s="2">
        <f>SUM(Employee_Data[[#This Row],[Basic Salary]],Employee_Data[[#This Row],[HRA]],Employee_Data[[#This Row],[MA]],Employee_Data[[#This Row],[TA]])</f>
        <v>18484.499166666665</v>
      </c>
      <c r="R486" s="4">
        <f>Employee_Data[[#This Row],[Basic Salary]]*12.5%</f>
        <v>1917.4791666666667</v>
      </c>
      <c r="S486" s="2">
        <f>Employee_Data[[#This Row],[Annual Salary]]/12</f>
        <v>15339.833333333334</v>
      </c>
    </row>
    <row r="487" spans="1:19" x14ac:dyDescent="0.3">
      <c r="A487" t="s">
        <v>1052</v>
      </c>
      <c r="B487" t="s">
        <v>1053</v>
      </c>
      <c r="C487" t="s">
        <v>29</v>
      </c>
      <c r="D487" t="s">
        <v>55</v>
      </c>
      <c r="E487" t="s">
        <v>31</v>
      </c>
      <c r="F487" t="s">
        <v>42</v>
      </c>
      <c r="G487" t="s">
        <v>24</v>
      </c>
      <c r="H487">
        <v>58</v>
      </c>
      <c r="I487" s="1">
        <v>41626</v>
      </c>
      <c r="J487" s="2">
        <v>55174</v>
      </c>
      <c r="K487" s="3">
        <v>0</v>
      </c>
      <c r="L487" t="s">
        <v>25</v>
      </c>
      <c r="M487" t="s">
        <v>48</v>
      </c>
      <c r="N487" s="2">
        <f>Employee_Data[[#This Row],[Basic Salary]]*10%</f>
        <v>459.7833333333333</v>
      </c>
      <c r="O487" s="4">
        <f>Employee_Data[[#This Row],[Basic Salary]]*7.5%</f>
        <v>344.83749999999998</v>
      </c>
      <c r="P487" s="2">
        <f>Employee_Data[[#This Row],[Basic Salary]]*3%</f>
        <v>137.93499999999997</v>
      </c>
      <c r="Q487" s="2">
        <f>SUM(Employee_Data[[#This Row],[Basic Salary]],Employee_Data[[#This Row],[HRA]],Employee_Data[[#This Row],[MA]],Employee_Data[[#This Row],[TA]])</f>
        <v>5540.3891666666668</v>
      </c>
      <c r="R487" s="4">
        <f>Employee_Data[[#This Row],[Basic Salary]]*12.5%</f>
        <v>574.72916666666663</v>
      </c>
      <c r="S487" s="2">
        <f>Employee_Data[[#This Row],[Annual Salary]]/12</f>
        <v>4597.833333333333</v>
      </c>
    </row>
    <row r="488" spans="1:19" x14ac:dyDescent="0.3">
      <c r="A488" t="s">
        <v>1054</v>
      </c>
      <c r="B488" t="s">
        <v>1055</v>
      </c>
      <c r="C488" t="s">
        <v>47</v>
      </c>
      <c r="D488" t="s">
        <v>61</v>
      </c>
      <c r="E488" t="s">
        <v>31</v>
      </c>
      <c r="F488" t="s">
        <v>42</v>
      </c>
      <c r="G488" t="s">
        <v>24</v>
      </c>
      <c r="H488">
        <v>31</v>
      </c>
      <c r="I488" s="1">
        <v>44578</v>
      </c>
      <c r="J488" s="2">
        <v>152474</v>
      </c>
      <c r="K488" s="3">
        <v>0.27</v>
      </c>
      <c r="L488" t="s">
        <v>25</v>
      </c>
      <c r="M488" t="s">
        <v>48</v>
      </c>
      <c r="N488" s="2">
        <f>Employee_Data[[#This Row],[Basic Salary]]*10%</f>
        <v>1270.6166666666668</v>
      </c>
      <c r="O488" s="4">
        <f>Employee_Data[[#This Row],[Basic Salary]]*7.5%</f>
        <v>952.96249999999986</v>
      </c>
      <c r="P488" s="2">
        <f>Employee_Data[[#This Row],[Basic Salary]]*3%</f>
        <v>381.18499999999995</v>
      </c>
      <c r="Q488" s="2">
        <f>SUM(Employee_Data[[#This Row],[Basic Salary]],Employee_Data[[#This Row],[HRA]],Employee_Data[[#This Row],[MA]],Employee_Data[[#This Row],[TA]])</f>
        <v>15310.930833333332</v>
      </c>
      <c r="R488" s="4">
        <f>Employee_Data[[#This Row],[Basic Salary]]*12.5%</f>
        <v>1588.2708333333333</v>
      </c>
      <c r="S488" s="2">
        <f>Employee_Data[[#This Row],[Annual Salary]]/12</f>
        <v>12706.166666666666</v>
      </c>
    </row>
    <row r="489" spans="1:19" x14ac:dyDescent="0.3">
      <c r="A489" t="s">
        <v>1056</v>
      </c>
      <c r="B489" t="s">
        <v>1057</v>
      </c>
      <c r="C489" t="s">
        <v>35</v>
      </c>
      <c r="D489" t="s">
        <v>4</v>
      </c>
      <c r="E489" t="s">
        <v>56</v>
      </c>
      <c r="F489" t="s">
        <v>42</v>
      </c>
      <c r="G489" t="s">
        <v>24</v>
      </c>
      <c r="H489">
        <v>28</v>
      </c>
      <c r="I489" s="1">
        <v>43874</v>
      </c>
      <c r="J489" s="2">
        <v>75172</v>
      </c>
      <c r="K489" s="3">
        <v>0</v>
      </c>
      <c r="L489" t="s">
        <v>37</v>
      </c>
      <c r="M489" t="s">
        <v>38</v>
      </c>
      <c r="N489" s="2">
        <f>Employee_Data[[#This Row],[Basic Salary]]*10%</f>
        <v>626.43333333333339</v>
      </c>
      <c r="O489" s="4">
        <f>Employee_Data[[#This Row],[Basic Salary]]*7.5%</f>
        <v>469.82499999999993</v>
      </c>
      <c r="P489" s="2">
        <f>Employee_Data[[#This Row],[Basic Salary]]*3%</f>
        <v>187.92999999999998</v>
      </c>
      <c r="Q489" s="2">
        <f>SUM(Employee_Data[[#This Row],[Basic Salary]],Employee_Data[[#This Row],[HRA]],Employee_Data[[#This Row],[MA]],Employee_Data[[#This Row],[TA]])</f>
        <v>7548.5216666666665</v>
      </c>
      <c r="R489" s="4">
        <f>Employee_Data[[#This Row],[Basic Salary]]*12.5%</f>
        <v>783.04166666666663</v>
      </c>
      <c r="S489" s="2">
        <f>Employee_Data[[#This Row],[Annual Salary]]/12</f>
        <v>6264.333333333333</v>
      </c>
    </row>
    <row r="490" spans="1:19" x14ac:dyDescent="0.3">
      <c r="A490" t="s">
        <v>1058</v>
      </c>
      <c r="B490" t="s">
        <v>1059</v>
      </c>
      <c r="C490" t="s">
        <v>131</v>
      </c>
      <c r="D490" t="s">
        <v>126</v>
      </c>
      <c r="E490" t="s">
        <v>22</v>
      </c>
      <c r="F490" t="s">
        <v>42</v>
      </c>
      <c r="G490" t="s">
        <v>43</v>
      </c>
      <c r="H490">
        <v>50</v>
      </c>
      <c r="I490" s="1">
        <v>39670</v>
      </c>
      <c r="J490" s="2">
        <v>56002</v>
      </c>
      <c r="K490" s="3">
        <v>0</v>
      </c>
      <c r="L490" t="s">
        <v>25</v>
      </c>
      <c r="M490" t="s">
        <v>48</v>
      </c>
      <c r="N490" s="2">
        <f>Employee_Data[[#This Row],[Basic Salary]]*10%</f>
        <v>466.68333333333334</v>
      </c>
      <c r="O490" s="4">
        <f>Employee_Data[[#This Row],[Basic Salary]]*7.5%</f>
        <v>350.01249999999999</v>
      </c>
      <c r="P490" s="2">
        <f>Employee_Data[[#This Row],[Basic Salary]]*3%</f>
        <v>140.005</v>
      </c>
      <c r="Q490" s="2">
        <f>SUM(Employee_Data[[#This Row],[Basic Salary]],Employee_Data[[#This Row],[HRA]],Employee_Data[[#This Row],[MA]],Employee_Data[[#This Row],[TA]])</f>
        <v>5623.5341666666664</v>
      </c>
      <c r="R490" s="4">
        <f>Employee_Data[[#This Row],[Basic Salary]]*12.5%</f>
        <v>583.35416666666663</v>
      </c>
      <c r="S490" s="2">
        <f>Employee_Data[[#This Row],[Annual Salary]]/12</f>
        <v>4666.833333333333</v>
      </c>
    </row>
    <row r="491" spans="1:19" x14ac:dyDescent="0.3">
      <c r="A491" t="s">
        <v>1060</v>
      </c>
      <c r="B491" t="s">
        <v>1061</v>
      </c>
      <c r="C491" t="s">
        <v>47</v>
      </c>
      <c r="D491" t="s">
        <v>30</v>
      </c>
      <c r="E491" t="s">
        <v>36</v>
      </c>
      <c r="F491" t="s">
        <v>42</v>
      </c>
      <c r="G491" t="s">
        <v>43</v>
      </c>
      <c r="H491">
        <v>61</v>
      </c>
      <c r="I491" s="1">
        <v>41377</v>
      </c>
      <c r="J491" s="2">
        <v>195636</v>
      </c>
      <c r="K491" s="3">
        <v>0.21</v>
      </c>
      <c r="L491" t="s">
        <v>137</v>
      </c>
      <c r="M491" t="s">
        <v>138</v>
      </c>
      <c r="N491" s="2">
        <f>Employee_Data[[#This Row],[Basic Salary]]*10%</f>
        <v>1630.3000000000002</v>
      </c>
      <c r="O491" s="4">
        <f>Employee_Data[[#This Row],[Basic Salary]]*7.5%</f>
        <v>1222.7249999999999</v>
      </c>
      <c r="P491" s="2">
        <f>Employee_Data[[#This Row],[Basic Salary]]*3%</f>
        <v>489.09</v>
      </c>
      <c r="Q491" s="2">
        <f>SUM(Employee_Data[[#This Row],[Basic Salary]],Employee_Data[[#This Row],[HRA]],Employee_Data[[#This Row],[MA]],Employee_Data[[#This Row],[TA]])</f>
        <v>19645.114999999998</v>
      </c>
      <c r="R491" s="4">
        <f>Employee_Data[[#This Row],[Basic Salary]]*12.5%</f>
        <v>2037.875</v>
      </c>
      <c r="S491" s="2">
        <f>Employee_Data[[#This Row],[Annual Salary]]/12</f>
        <v>16303</v>
      </c>
    </row>
    <row r="492" spans="1:19" x14ac:dyDescent="0.3">
      <c r="A492" t="s">
        <v>1062</v>
      </c>
      <c r="B492" t="s">
        <v>1063</v>
      </c>
      <c r="C492" t="s">
        <v>173</v>
      </c>
      <c r="D492" t="s">
        <v>4</v>
      </c>
      <c r="E492" t="s">
        <v>56</v>
      </c>
      <c r="F492" t="s">
        <v>23</v>
      </c>
      <c r="G492" t="s">
        <v>66</v>
      </c>
      <c r="H492">
        <v>53</v>
      </c>
      <c r="I492" s="1">
        <v>35490</v>
      </c>
      <c r="J492" s="2">
        <v>63165</v>
      </c>
      <c r="K492" s="3">
        <v>0</v>
      </c>
      <c r="L492" t="s">
        <v>25</v>
      </c>
      <c r="M492" t="s">
        <v>44</v>
      </c>
      <c r="N492" s="2">
        <f>Employee_Data[[#This Row],[Basic Salary]]*10%</f>
        <v>526.375</v>
      </c>
      <c r="O492" s="4">
        <f>Employee_Data[[#This Row],[Basic Salary]]*7.5%</f>
        <v>394.78125</v>
      </c>
      <c r="P492" s="2">
        <f>Employee_Data[[#This Row],[Basic Salary]]*3%</f>
        <v>157.91249999999999</v>
      </c>
      <c r="Q492" s="2">
        <f>SUM(Employee_Data[[#This Row],[Basic Salary]],Employee_Data[[#This Row],[HRA]],Employee_Data[[#This Row],[MA]],Employee_Data[[#This Row],[TA]])</f>
        <v>6342.8187500000004</v>
      </c>
      <c r="R492" s="4">
        <f>Employee_Data[[#This Row],[Basic Salary]]*12.5%</f>
        <v>657.96875</v>
      </c>
      <c r="S492" s="2">
        <f>Employee_Data[[#This Row],[Annual Salary]]/12</f>
        <v>5263.75</v>
      </c>
    </row>
    <row r="493" spans="1:19" x14ac:dyDescent="0.3">
      <c r="A493" t="s">
        <v>1064</v>
      </c>
      <c r="B493" t="s">
        <v>1065</v>
      </c>
      <c r="C493" t="s">
        <v>29</v>
      </c>
      <c r="D493" t="s">
        <v>30</v>
      </c>
      <c r="E493" t="s">
        <v>36</v>
      </c>
      <c r="F493" t="s">
        <v>42</v>
      </c>
      <c r="G493" t="s">
        <v>24</v>
      </c>
      <c r="H493">
        <v>51</v>
      </c>
      <c r="I493" s="1">
        <v>35997</v>
      </c>
      <c r="J493" s="2">
        <v>57277</v>
      </c>
      <c r="K493" s="3">
        <v>0</v>
      </c>
      <c r="L493" t="s">
        <v>37</v>
      </c>
      <c r="M493" t="s">
        <v>38</v>
      </c>
      <c r="N493" s="2">
        <f>Employee_Data[[#This Row],[Basic Salary]]*10%</f>
        <v>477.30833333333334</v>
      </c>
      <c r="O493" s="4">
        <f>Employee_Data[[#This Row],[Basic Salary]]*7.5%</f>
        <v>357.98124999999999</v>
      </c>
      <c r="P493" s="2">
        <f>Employee_Data[[#This Row],[Basic Salary]]*3%</f>
        <v>143.1925</v>
      </c>
      <c r="Q493" s="2">
        <f>SUM(Employee_Data[[#This Row],[Basic Salary]],Employee_Data[[#This Row],[HRA]],Employee_Data[[#This Row],[MA]],Employee_Data[[#This Row],[TA]])</f>
        <v>5751.5654166666664</v>
      </c>
      <c r="R493" s="4">
        <f>Employee_Data[[#This Row],[Basic Salary]]*12.5%</f>
        <v>596.63541666666663</v>
      </c>
      <c r="S493" s="2">
        <f>Employee_Data[[#This Row],[Annual Salary]]/12</f>
        <v>4773.083333333333</v>
      </c>
    </row>
    <row r="494" spans="1:19" x14ac:dyDescent="0.3">
      <c r="A494" t="s">
        <v>1066</v>
      </c>
      <c r="B494" t="s">
        <v>1067</v>
      </c>
      <c r="C494" t="s">
        <v>29</v>
      </c>
      <c r="D494" t="s">
        <v>61</v>
      </c>
      <c r="E494" t="s">
        <v>56</v>
      </c>
      <c r="F494" t="s">
        <v>42</v>
      </c>
      <c r="G494" t="s">
        <v>43</v>
      </c>
      <c r="H494">
        <v>56</v>
      </c>
      <c r="I494" s="1">
        <v>43844</v>
      </c>
      <c r="J494" s="2">
        <v>42950</v>
      </c>
      <c r="K494" s="3">
        <v>0</v>
      </c>
      <c r="L494" t="s">
        <v>137</v>
      </c>
      <c r="M494" t="s">
        <v>138</v>
      </c>
      <c r="N494" s="2">
        <f>Employee_Data[[#This Row],[Basic Salary]]*10%</f>
        <v>357.91666666666669</v>
      </c>
      <c r="O494" s="4">
        <f>Employee_Data[[#This Row],[Basic Salary]]*7.5%</f>
        <v>268.4375</v>
      </c>
      <c r="P494" s="2">
        <f>Employee_Data[[#This Row],[Basic Salary]]*3%</f>
        <v>107.37499999999999</v>
      </c>
      <c r="Q494" s="2">
        <f>SUM(Employee_Data[[#This Row],[Basic Salary]],Employee_Data[[#This Row],[HRA]],Employee_Data[[#This Row],[MA]],Employee_Data[[#This Row],[TA]])</f>
        <v>4312.895833333333</v>
      </c>
      <c r="R494" s="4">
        <f>Employee_Data[[#This Row],[Basic Salary]]*12.5%</f>
        <v>447.39583333333331</v>
      </c>
      <c r="S494" s="2">
        <f>Employee_Data[[#This Row],[Annual Salary]]/12</f>
        <v>3579.1666666666665</v>
      </c>
    </row>
    <row r="495" spans="1:19" x14ac:dyDescent="0.3">
      <c r="A495" t="s">
        <v>1068</v>
      </c>
      <c r="B495" t="s">
        <v>1069</v>
      </c>
      <c r="C495" t="s">
        <v>47</v>
      </c>
      <c r="D495" t="s">
        <v>4</v>
      </c>
      <c r="E495" t="s">
        <v>36</v>
      </c>
      <c r="F495" t="s">
        <v>23</v>
      </c>
      <c r="G495" t="s">
        <v>43</v>
      </c>
      <c r="H495">
        <v>38</v>
      </c>
      <c r="I495" s="1">
        <v>43382</v>
      </c>
      <c r="J495" s="2">
        <v>168410</v>
      </c>
      <c r="K495" s="3">
        <v>0.3</v>
      </c>
      <c r="L495" t="s">
        <v>25</v>
      </c>
      <c r="M495" t="s">
        <v>32</v>
      </c>
      <c r="N495" s="2">
        <f>Employee_Data[[#This Row],[Basic Salary]]*10%</f>
        <v>1403.4166666666667</v>
      </c>
      <c r="O495" s="4">
        <f>Employee_Data[[#This Row],[Basic Salary]]*7.5%</f>
        <v>1052.5625</v>
      </c>
      <c r="P495" s="2">
        <f>Employee_Data[[#This Row],[Basic Salary]]*3%</f>
        <v>421.02499999999998</v>
      </c>
      <c r="Q495" s="2">
        <f>SUM(Employee_Data[[#This Row],[Basic Salary]],Employee_Data[[#This Row],[HRA]],Employee_Data[[#This Row],[MA]],Employee_Data[[#This Row],[TA]])</f>
        <v>16911.170833333334</v>
      </c>
      <c r="R495" s="4">
        <f>Employee_Data[[#This Row],[Basic Salary]]*12.5%</f>
        <v>1754.2708333333333</v>
      </c>
      <c r="S495" s="2">
        <f>Employee_Data[[#This Row],[Annual Salary]]/12</f>
        <v>14034.166666666666</v>
      </c>
    </row>
    <row r="496" spans="1:19" x14ac:dyDescent="0.3">
      <c r="A496" t="s">
        <v>1070</v>
      </c>
      <c r="B496" t="s">
        <v>1071</v>
      </c>
      <c r="C496" t="s">
        <v>69</v>
      </c>
      <c r="D496" t="s">
        <v>4</v>
      </c>
      <c r="E496" t="s">
        <v>31</v>
      </c>
      <c r="F496" t="s">
        <v>42</v>
      </c>
      <c r="G496" t="s">
        <v>66</v>
      </c>
      <c r="H496">
        <v>41</v>
      </c>
      <c r="I496" s="1">
        <v>39550</v>
      </c>
      <c r="J496" s="2">
        <v>114588</v>
      </c>
      <c r="K496" s="3">
        <v>0.05</v>
      </c>
      <c r="L496" t="s">
        <v>25</v>
      </c>
      <c r="M496" t="s">
        <v>70</v>
      </c>
      <c r="N496" s="2">
        <f>Employee_Data[[#This Row],[Basic Salary]]*10%</f>
        <v>954.90000000000009</v>
      </c>
      <c r="O496" s="4">
        <f>Employee_Data[[#This Row],[Basic Salary]]*7.5%</f>
        <v>716.17499999999995</v>
      </c>
      <c r="P496" s="2">
        <f>Employee_Data[[#This Row],[Basic Salary]]*3%</f>
        <v>286.46999999999997</v>
      </c>
      <c r="Q496" s="2">
        <f>SUM(Employee_Data[[#This Row],[Basic Salary]],Employee_Data[[#This Row],[HRA]],Employee_Data[[#This Row],[MA]],Employee_Data[[#This Row],[TA]])</f>
        <v>11506.544999999998</v>
      </c>
      <c r="R496" s="4">
        <f>Employee_Data[[#This Row],[Basic Salary]]*12.5%</f>
        <v>1193.625</v>
      </c>
      <c r="S496" s="2">
        <f>Employee_Data[[#This Row],[Annual Salary]]/12</f>
        <v>9549</v>
      </c>
    </row>
    <row r="497" spans="1:19" x14ac:dyDescent="0.3">
      <c r="A497" t="s">
        <v>1072</v>
      </c>
      <c r="B497" t="s">
        <v>1073</v>
      </c>
      <c r="C497" t="s">
        <v>54</v>
      </c>
      <c r="D497" t="s">
        <v>30</v>
      </c>
      <c r="E497" t="s">
        <v>56</v>
      </c>
      <c r="F497" t="s">
        <v>42</v>
      </c>
      <c r="G497" t="s">
        <v>24</v>
      </c>
      <c r="H497">
        <v>61</v>
      </c>
      <c r="I497" s="1">
        <v>35562</v>
      </c>
      <c r="J497" s="2">
        <v>72546</v>
      </c>
      <c r="K497" s="3">
        <v>0</v>
      </c>
      <c r="L497" t="s">
        <v>37</v>
      </c>
      <c r="M497" t="s">
        <v>111</v>
      </c>
      <c r="N497" s="2">
        <f>Employee_Data[[#This Row],[Basic Salary]]*10%</f>
        <v>604.55000000000007</v>
      </c>
      <c r="O497" s="4">
        <f>Employee_Data[[#This Row],[Basic Salary]]*7.5%</f>
        <v>453.41249999999997</v>
      </c>
      <c r="P497" s="2">
        <f>Employee_Data[[#This Row],[Basic Salary]]*3%</f>
        <v>181.36499999999998</v>
      </c>
      <c r="Q497" s="2">
        <f>SUM(Employee_Data[[#This Row],[Basic Salary]],Employee_Data[[#This Row],[HRA]],Employee_Data[[#This Row],[MA]],Employee_Data[[#This Row],[TA]])</f>
        <v>7284.8275000000003</v>
      </c>
      <c r="R497" s="4">
        <f>Employee_Data[[#This Row],[Basic Salary]]*12.5%</f>
        <v>755.6875</v>
      </c>
      <c r="S497" s="2">
        <f>Employee_Data[[#This Row],[Annual Salary]]/12</f>
        <v>6045.5</v>
      </c>
    </row>
    <row r="498" spans="1:19" x14ac:dyDescent="0.3">
      <c r="A498" t="s">
        <v>1074</v>
      </c>
      <c r="B498" t="s">
        <v>1075</v>
      </c>
      <c r="C498" t="s">
        <v>29</v>
      </c>
      <c r="D498" t="s">
        <v>30</v>
      </c>
      <c r="E498" t="s">
        <v>31</v>
      </c>
      <c r="F498" t="s">
        <v>23</v>
      </c>
      <c r="G498" t="s">
        <v>24</v>
      </c>
      <c r="H498">
        <v>33</v>
      </c>
      <c r="I498" s="1">
        <v>44205</v>
      </c>
      <c r="J498" s="2">
        <v>55397</v>
      </c>
      <c r="K498" s="3">
        <v>0</v>
      </c>
      <c r="L498" t="s">
        <v>37</v>
      </c>
      <c r="M498" t="s">
        <v>38</v>
      </c>
      <c r="N498" s="2">
        <f>Employee_Data[[#This Row],[Basic Salary]]*10%</f>
        <v>461.64166666666671</v>
      </c>
      <c r="O498" s="4">
        <f>Employee_Data[[#This Row],[Basic Salary]]*7.5%</f>
        <v>346.23124999999999</v>
      </c>
      <c r="P498" s="2">
        <f>Employee_Data[[#This Row],[Basic Salary]]*3%</f>
        <v>138.49250000000001</v>
      </c>
      <c r="Q498" s="2">
        <f>SUM(Employee_Data[[#This Row],[Basic Salary]],Employee_Data[[#This Row],[HRA]],Employee_Data[[#This Row],[MA]],Employee_Data[[#This Row],[TA]])</f>
        <v>5562.7820833333335</v>
      </c>
      <c r="R498" s="4">
        <f>Employee_Data[[#This Row],[Basic Salary]]*12.5%</f>
        <v>577.05208333333337</v>
      </c>
      <c r="S498" s="2">
        <f>Employee_Data[[#This Row],[Annual Salary]]/12</f>
        <v>4616.416666666667</v>
      </c>
    </row>
    <row r="499" spans="1:19" x14ac:dyDescent="0.3">
      <c r="A499" t="s">
        <v>1076</v>
      </c>
      <c r="B499" t="s">
        <v>1077</v>
      </c>
      <c r="C499" t="s">
        <v>47</v>
      </c>
      <c r="D499" t="s">
        <v>80</v>
      </c>
      <c r="E499" t="s">
        <v>31</v>
      </c>
      <c r="F499" t="s">
        <v>42</v>
      </c>
      <c r="G499" t="s">
        <v>24</v>
      </c>
      <c r="H499">
        <v>41</v>
      </c>
      <c r="I499" s="1">
        <v>44444</v>
      </c>
      <c r="J499" s="2">
        <v>192266</v>
      </c>
      <c r="K499" s="3">
        <v>0.23</v>
      </c>
      <c r="L499" t="s">
        <v>37</v>
      </c>
      <c r="M499" t="s">
        <v>62</v>
      </c>
      <c r="N499" s="2">
        <f>Employee_Data[[#This Row],[Basic Salary]]*10%</f>
        <v>1602.2166666666667</v>
      </c>
      <c r="O499" s="4">
        <f>Employee_Data[[#This Row],[Basic Salary]]*7.5%</f>
        <v>1201.6624999999999</v>
      </c>
      <c r="P499" s="2">
        <f>Employee_Data[[#This Row],[Basic Salary]]*3%</f>
        <v>480.66499999999996</v>
      </c>
      <c r="Q499" s="2">
        <f>SUM(Employee_Data[[#This Row],[Basic Salary]],Employee_Data[[#This Row],[HRA]],Employee_Data[[#This Row],[MA]],Employee_Data[[#This Row],[TA]])</f>
        <v>19306.710833333331</v>
      </c>
      <c r="R499" s="4">
        <f>Employee_Data[[#This Row],[Basic Salary]]*12.5%</f>
        <v>2002.7708333333333</v>
      </c>
      <c r="S499" s="2">
        <f>Employee_Data[[#This Row],[Annual Salary]]/12</f>
        <v>16022.166666666666</v>
      </c>
    </row>
    <row r="500" spans="1:19" x14ac:dyDescent="0.3">
      <c r="A500" t="s">
        <v>1078</v>
      </c>
      <c r="B500" t="s">
        <v>1079</v>
      </c>
      <c r="C500" t="s">
        <v>65</v>
      </c>
      <c r="D500" t="s">
        <v>4</v>
      </c>
      <c r="E500" t="s">
        <v>22</v>
      </c>
      <c r="F500" t="s">
        <v>42</v>
      </c>
      <c r="G500" t="s">
        <v>24</v>
      </c>
      <c r="H500">
        <v>36</v>
      </c>
      <c r="I500" s="1">
        <v>41628</v>
      </c>
      <c r="J500" s="2">
        <v>79876</v>
      </c>
      <c r="K500" s="3">
        <v>0</v>
      </c>
      <c r="L500" t="s">
        <v>25</v>
      </c>
      <c r="M500" t="s">
        <v>44</v>
      </c>
      <c r="N500" s="2">
        <f>Employee_Data[[#This Row],[Basic Salary]]*10%</f>
        <v>665.63333333333333</v>
      </c>
      <c r="O500" s="4">
        <f>Employee_Data[[#This Row],[Basic Salary]]*7.5%</f>
        <v>499.22499999999997</v>
      </c>
      <c r="P500" s="2">
        <f>Employee_Data[[#This Row],[Basic Salary]]*3%</f>
        <v>199.69</v>
      </c>
      <c r="Q500" s="2">
        <f>SUM(Employee_Data[[#This Row],[Basic Salary]],Employee_Data[[#This Row],[HRA]],Employee_Data[[#This Row],[MA]],Employee_Data[[#This Row],[TA]])</f>
        <v>8020.8816666666662</v>
      </c>
      <c r="R500" s="4">
        <f>Employee_Data[[#This Row],[Basic Salary]]*12.5%</f>
        <v>832.04166666666663</v>
      </c>
      <c r="S500" s="2">
        <f>Employee_Data[[#This Row],[Annual Salary]]/12</f>
        <v>6656.333333333333</v>
      </c>
    </row>
    <row r="501" spans="1:19" x14ac:dyDescent="0.3">
      <c r="A501" t="s">
        <v>1080</v>
      </c>
      <c r="B501" t="s">
        <v>1081</v>
      </c>
      <c r="C501" t="s">
        <v>69</v>
      </c>
      <c r="D501" t="s">
        <v>30</v>
      </c>
      <c r="E501" t="s">
        <v>31</v>
      </c>
      <c r="F501" t="s">
        <v>42</v>
      </c>
      <c r="G501" t="s">
        <v>24</v>
      </c>
      <c r="H501">
        <v>42</v>
      </c>
      <c r="I501" s="1">
        <v>43165</v>
      </c>
      <c r="J501" s="2">
        <v>112593</v>
      </c>
      <c r="K501" s="3">
        <v>0.05</v>
      </c>
      <c r="L501" t="s">
        <v>25</v>
      </c>
      <c r="M501" t="s">
        <v>44</v>
      </c>
      <c r="N501" s="2">
        <f>Employee_Data[[#This Row],[Basic Salary]]*10%</f>
        <v>938.27500000000009</v>
      </c>
      <c r="O501" s="4">
        <f>Employee_Data[[#This Row],[Basic Salary]]*7.5%</f>
        <v>703.70624999999995</v>
      </c>
      <c r="P501" s="2">
        <f>Employee_Data[[#This Row],[Basic Salary]]*3%</f>
        <v>281.48250000000002</v>
      </c>
      <c r="Q501" s="2">
        <f>SUM(Employee_Data[[#This Row],[Basic Salary]],Employee_Data[[#This Row],[HRA]],Employee_Data[[#This Row],[MA]],Employee_Data[[#This Row],[TA]])</f>
        <v>11306.213749999999</v>
      </c>
      <c r="R501" s="4">
        <f>Employee_Data[[#This Row],[Basic Salary]]*12.5%</f>
        <v>1172.84375</v>
      </c>
      <c r="S501" s="2">
        <f>Employee_Data[[#This Row],[Annual Salary]]/12</f>
        <v>9382.75</v>
      </c>
    </row>
    <row r="502" spans="1:19" x14ac:dyDescent="0.3">
      <c r="A502" t="s">
        <v>1082</v>
      </c>
      <c r="B502" t="s">
        <v>1083</v>
      </c>
      <c r="C502" t="s">
        <v>65</v>
      </c>
      <c r="D502" t="s">
        <v>4</v>
      </c>
      <c r="E502" t="s">
        <v>22</v>
      </c>
      <c r="F502" t="s">
        <v>42</v>
      </c>
      <c r="G502" t="s">
        <v>66</v>
      </c>
      <c r="H502">
        <v>36</v>
      </c>
      <c r="I502" s="1">
        <v>42677</v>
      </c>
      <c r="J502" s="2">
        <v>99249</v>
      </c>
      <c r="K502" s="3">
        <v>0</v>
      </c>
      <c r="L502" t="s">
        <v>25</v>
      </c>
      <c r="M502" t="s">
        <v>70</v>
      </c>
      <c r="N502" s="2">
        <f>Employee_Data[[#This Row],[Basic Salary]]*10%</f>
        <v>827.07500000000005</v>
      </c>
      <c r="O502" s="4">
        <f>Employee_Data[[#This Row],[Basic Salary]]*7.5%</f>
        <v>620.30624999999998</v>
      </c>
      <c r="P502" s="2">
        <f>Employee_Data[[#This Row],[Basic Salary]]*3%</f>
        <v>248.1225</v>
      </c>
      <c r="Q502" s="2">
        <f>SUM(Employee_Data[[#This Row],[Basic Salary]],Employee_Data[[#This Row],[HRA]],Employee_Data[[#This Row],[MA]],Employee_Data[[#This Row],[TA]])</f>
        <v>9966.2537499999999</v>
      </c>
      <c r="R502" s="4">
        <f>Employee_Data[[#This Row],[Basic Salary]]*12.5%</f>
        <v>1033.84375</v>
      </c>
      <c r="S502" s="2">
        <f>Employee_Data[[#This Row],[Annual Salary]]/12</f>
        <v>8270.75</v>
      </c>
    </row>
    <row r="503" spans="1:19" x14ac:dyDescent="0.3">
      <c r="A503" t="s">
        <v>1084</v>
      </c>
      <c r="B503" t="s">
        <v>1085</v>
      </c>
      <c r="C503" t="s">
        <v>69</v>
      </c>
      <c r="D503" t="s">
        <v>61</v>
      </c>
      <c r="E503" t="s">
        <v>22</v>
      </c>
      <c r="F503" t="s">
        <v>42</v>
      </c>
      <c r="G503" t="s">
        <v>66</v>
      </c>
      <c r="H503">
        <v>55</v>
      </c>
      <c r="I503" s="1">
        <v>41133</v>
      </c>
      <c r="J503" s="2">
        <v>117421</v>
      </c>
      <c r="K503" s="3">
        <v>0.05</v>
      </c>
      <c r="L503" t="s">
        <v>25</v>
      </c>
      <c r="M503" t="s">
        <v>48</v>
      </c>
      <c r="N503" s="2">
        <f>Employee_Data[[#This Row],[Basic Salary]]*10%</f>
        <v>978.50833333333344</v>
      </c>
      <c r="O503" s="4">
        <f>Employee_Data[[#This Row],[Basic Salary]]*7.5%</f>
        <v>733.88125000000002</v>
      </c>
      <c r="P503" s="2">
        <f>Employee_Data[[#This Row],[Basic Salary]]*3%</f>
        <v>293.55250000000001</v>
      </c>
      <c r="Q503" s="2">
        <f>SUM(Employee_Data[[#This Row],[Basic Salary]],Employee_Data[[#This Row],[HRA]],Employee_Data[[#This Row],[MA]],Employee_Data[[#This Row],[TA]])</f>
        <v>11791.025416666667</v>
      </c>
      <c r="R503" s="4">
        <f>Employee_Data[[#This Row],[Basic Salary]]*12.5%</f>
        <v>1223.1354166666667</v>
      </c>
      <c r="S503" s="2">
        <f>Employee_Data[[#This Row],[Annual Salary]]/12</f>
        <v>9785.0833333333339</v>
      </c>
    </row>
    <row r="504" spans="1:19" x14ac:dyDescent="0.3">
      <c r="A504" t="s">
        <v>1086</v>
      </c>
      <c r="B504" t="s">
        <v>1087</v>
      </c>
      <c r="C504" t="s">
        <v>292</v>
      </c>
      <c r="D504" t="s">
        <v>21</v>
      </c>
      <c r="E504" t="s">
        <v>31</v>
      </c>
      <c r="F504" t="s">
        <v>42</v>
      </c>
      <c r="G504" t="s">
        <v>24</v>
      </c>
      <c r="H504">
        <v>44</v>
      </c>
      <c r="I504" s="1">
        <v>43087</v>
      </c>
      <c r="J504" s="2">
        <v>82241</v>
      </c>
      <c r="K504" s="3">
        <v>0</v>
      </c>
      <c r="L504" t="s">
        <v>37</v>
      </c>
      <c r="M504" t="s">
        <v>38</v>
      </c>
      <c r="N504" s="2">
        <f>Employee_Data[[#This Row],[Basic Salary]]*10%</f>
        <v>685.3416666666667</v>
      </c>
      <c r="O504" s="4">
        <f>Employee_Data[[#This Row],[Basic Salary]]*7.5%</f>
        <v>514.00625000000002</v>
      </c>
      <c r="P504" s="2">
        <f>Employee_Data[[#This Row],[Basic Salary]]*3%</f>
        <v>205.60249999999999</v>
      </c>
      <c r="Q504" s="2">
        <f>SUM(Employee_Data[[#This Row],[Basic Salary]],Employee_Data[[#This Row],[HRA]],Employee_Data[[#This Row],[MA]],Employee_Data[[#This Row],[TA]])</f>
        <v>8258.3670833333344</v>
      </c>
      <c r="R504" s="4">
        <f>Employee_Data[[#This Row],[Basic Salary]]*12.5%</f>
        <v>856.67708333333337</v>
      </c>
      <c r="S504" s="2">
        <f>Employee_Data[[#This Row],[Annual Salary]]/12</f>
        <v>6853.416666666667</v>
      </c>
    </row>
    <row r="505" spans="1:19" x14ac:dyDescent="0.3">
      <c r="A505" t="s">
        <v>1088</v>
      </c>
      <c r="B505" t="s">
        <v>1089</v>
      </c>
      <c r="C505" t="s">
        <v>69</v>
      </c>
      <c r="D505" t="s">
        <v>80</v>
      </c>
      <c r="E505" t="s">
        <v>36</v>
      </c>
      <c r="F505" t="s">
        <v>23</v>
      </c>
      <c r="G505" t="s">
        <v>43</v>
      </c>
      <c r="H505">
        <v>31</v>
      </c>
      <c r="I505" s="1">
        <v>44696</v>
      </c>
      <c r="J505" s="2">
        <v>125664</v>
      </c>
      <c r="K505" s="3">
        <v>0.05</v>
      </c>
      <c r="L505" t="s">
        <v>137</v>
      </c>
      <c r="M505" t="s">
        <v>289</v>
      </c>
      <c r="N505" s="2">
        <f>Employee_Data[[#This Row],[Basic Salary]]*10%</f>
        <v>1047.2</v>
      </c>
      <c r="O505" s="4">
        <f>Employee_Data[[#This Row],[Basic Salary]]*7.5%</f>
        <v>785.4</v>
      </c>
      <c r="P505" s="2">
        <f>Employee_Data[[#This Row],[Basic Salary]]*3%</f>
        <v>314.15999999999997</v>
      </c>
      <c r="Q505" s="2">
        <f>SUM(Employee_Data[[#This Row],[Basic Salary]],Employee_Data[[#This Row],[HRA]],Employee_Data[[#This Row],[MA]],Employee_Data[[#This Row],[TA]])</f>
        <v>12618.76</v>
      </c>
      <c r="R505" s="4">
        <f>Employee_Data[[#This Row],[Basic Salary]]*12.5%</f>
        <v>1309</v>
      </c>
      <c r="S505" s="2">
        <f>Employee_Data[[#This Row],[Annual Salary]]/12</f>
        <v>10472</v>
      </c>
    </row>
    <row r="506" spans="1:19" x14ac:dyDescent="0.3">
      <c r="A506" t="s">
        <v>1090</v>
      </c>
      <c r="B506" t="s">
        <v>1091</v>
      </c>
      <c r="C506" t="s">
        <v>104</v>
      </c>
      <c r="D506" t="s">
        <v>30</v>
      </c>
      <c r="E506" t="s">
        <v>36</v>
      </c>
      <c r="F506" t="s">
        <v>23</v>
      </c>
      <c r="G506" t="s">
        <v>24</v>
      </c>
      <c r="H506">
        <v>47</v>
      </c>
      <c r="I506" s="1">
        <v>41525</v>
      </c>
      <c r="J506" s="2">
        <v>57386</v>
      </c>
      <c r="K506" s="3">
        <v>0</v>
      </c>
      <c r="L506" t="s">
        <v>37</v>
      </c>
      <c r="M506" t="s">
        <v>111</v>
      </c>
      <c r="N506" s="2">
        <f>Employee_Data[[#This Row],[Basic Salary]]*10%</f>
        <v>478.2166666666667</v>
      </c>
      <c r="O506" s="4">
        <f>Employee_Data[[#This Row],[Basic Salary]]*7.5%</f>
        <v>358.66250000000002</v>
      </c>
      <c r="P506" s="2">
        <f>Employee_Data[[#This Row],[Basic Salary]]*3%</f>
        <v>143.465</v>
      </c>
      <c r="Q506" s="2">
        <f>SUM(Employee_Data[[#This Row],[Basic Salary]],Employee_Data[[#This Row],[HRA]],Employee_Data[[#This Row],[MA]],Employee_Data[[#This Row],[TA]])</f>
        <v>5762.5108333333337</v>
      </c>
      <c r="R506" s="4">
        <f>Employee_Data[[#This Row],[Basic Salary]]*12.5%</f>
        <v>597.77083333333337</v>
      </c>
      <c r="S506" s="2">
        <f>Employee_Data[[#This Row],[Annual Salary]]/12</f>
        <v>4782.166666666667</v>
      </c>
    </row>
    <row r="507" spans="1:19" x14ac:dyDescent="0.3">
      <c r="A507" t="s">
        <v>1092</v>
      </c>
      <c r="B507" t="s">
        <v>1093</v>
      </c>
      <c r="C507" t="s">
        <v>89</v>
      </c>
      <c r="D507" t="s">
        <v>21</v>
      </c>
      <c r="E507" t="s">
        <v>31</v>
      </c>
      <c r="F507" t="s">
        <v>42</v>
      </c>
      <c r="G507" t="s">
        <v>84</v>
      </c>
      <c r="H507">
        <v>59</v>
      </c>
      <c r="I507" s="1">
        <v>37022</v>
      </c>
      <c r="J507" s="2">
        <v>196740</v>
      </c>
      <c r="K507" s="3">
        <v>0.31</v>
      </c>
      <c r="L507" t="s">
        <v>25</v>
      </c>
      <c r="M507" t="s">
        <v>70</v>
      </c>
      <c r="N507" s="2">
        <f>Employee_Data[[#This Row],[Basic Salary]]*10%</f>
        <v>1639.5</v>
      </c>
      <c r="O507" s="4">
        <f>Employee_Data[[#This Row],[Basic Salary]]*7.5%</f>
        <v>1229.625</v>
      </c>
      <c r="P507" s="2">
        <f>Employee_Data[[#This Row],[Basic Salary]]*3%</f>
        <v>491.84999999999997</v>
      </c>
      <c r="Q507" s="2">
        <f>SUM(Employee_Data[[#This Row],[Basic Salary]],Employee_Data[[#This Row],[HRA]],Employee_Data[[#This Row],[MA]],Employee_Data[[#This Row],[TA]])</f>
        <v>19755.974999999999</v>
      </c>
      <c r="R507" s="4">
        <f>Employee_Data[[#This Row],[Basic Salary]]*12.5%</f>
        <v>2049.375</v>
      </c>
      <c r="S507" s="2">
        <f>Employee_Data[[#This Row],[Annual Salary]]/12</f>
        <v>16395</v>
      </c>
    </row>
    <row r="508" spans="1:19" x14ac:dyDescent="0.3">
      <c r="A508" t="s">
        <v>1094</v>
      </c>
      <c r="B508" t="s">
        <v>1095</v>
      </c>
      <c r="C508" t="s">
        <v>47</v>
      </c>
      <c r="D508" t="s">
        <v>126</v>
      </c>
      <c r="E508" t="s">
        <v>56</v>
      </c>
      <c r="F508" t="s">
        <v>42</v>
      </c>
      <c r="G508" t="s">
        <v>24</v>
      </c>
      <c r="H508">
        <v>48</v>
      </c>
      <c r="I508" s="1">
        <v>40047</v>
      </c>
      <c r="J508" s="2">
        <v>168202</v>
      </c>
      <c r="K508" s="3">
        <v>0.22</v>
      </c>
      <c r="L508" t="s">
        <v>37</v>
      </c>
      <c r="M508" t="s">
        <v>62</v>
      </c>
      <c r="N508" s="2">
        <f>Employee_Data[[#This Row],[Basic Salary]]*10%</f>
        <v>1401.6833333333334</v>
      </c>
      <c r="O508" s="4">
        <f>Employee_Data[[#This Row],[Basic Salary]]*7.5%</f>
        <v>1051.2625</v>
      </c>
      <c r="P508" s="2">
        <f>Employee_Data[[#This Row],[Basic Salary]]*3%</f>
        <v>420.505</v>
      </c>
      <c r="Q508" s="2">
        <f>SUM(Employee_Data[[#This Row],[Basic Salary]],Employee_Data[[#This Row],[HRA]],Employee_Data[[#This Row],[MA]],Employee_Data[[#This Row],[TA]])</f>
        <v>16890.284166666668</v>
      </c>
      <c r="R508" s="4">
        <f>Employee_Data[[#This Row],[Basic Salary]]*12.5%</f>
        <v>1752.1041666666667</v>
      </c>
      <c r="S508" s="2">
        <f>Employee_Data[[#This Row],[Annual Salary]]/12</f>
        <v>14016.833333333334</v>
      </c>
    </row>
    <row r="509" spans="1:19" x14ac:dyDescent="0.3">
      <c r="A509" t="s">
        <v>1096</v>
      </c>
      <c r="B509" t="s">
        <v>1097</v>
      </c>
      <c r="C509" t="s">
        <v>89</v>
      </c>
      <c r="D509" t="s">
        <v>126</v>
      </c>
      <c r="E509" t="s">
        <v>56</v>
      </c>
      <c r="F509" t="s">
        <v>42</v>
      </c>
      <c r="G509" t="s">
        <v>24</v>
      </c>
      <c r="H509">
        <v>44</v>
      </c>
      <c r="I509" s="1">
        <v>38909</v>
      </c>
      <c r="J509" s="2">
        <v>242004</v>
      </c>
      <c r="K509" s="3">
        <v>0.38</v>
      </c>
      <c r="L509" t="s">
        <v>37</v>
      </c>
      <c r="M509" t="s">
        <v>57</v>
      </c>
      <c r="N509" s="2">
        <f>Employee_Data[[#This Row],[Basic Salary]]*10%</f>
        <v>2016.7</v>
      </c>
      <c r="O509" s="4">
        <f>Employee_Data[[#This Row],[Basic Salary]]*7.5%</f>
        <v>1512.5249999999999</v>
      </c>
      <c r="P509" s="2">
        <f>Employee_Data[[#This Row],[Basic Salary]]*3%</f>
        <v>605.01</v>
      </c>
      <c r="Q509" s="2">
        <f>SUM(Employee_Data[[#This Row],[Basic Salary]],Employee_Data[[#This Row],[HRA]],Employee_Data[[#This Row],[MA]],Employee_Data[[#This Row],[TA]])</f>
        <v>24301.235000000001</v>
      </c>
      <c r="R509" s="4">
        <f>Employee_Data[[#This Row],[Basic Salary]]*12.5%</f>
        <v>2520.875</v>
      </c>
      <c r="S509" s="2">
        <f>Employee_Data[[#This Row],[Annual Salary]]/12</f>
        <v>20167</v>
      </c>
    </row>
    <row r="510" spans="1:19" x14ac:dyDescent="0.3">
      <c r="A510" t="s">
        <v>1098</v>
      </c>
      <c r="B510" t="s">
        <v>1099</v>
      </c>
      <c r="C510" t="s">
        <v>104</v>
      </c>
      <c r="D510" t="s">
        <v>30</v>
      </c>
      <c r="E510" t="s">
        <v>22</v>
      </c>
      <c r="F510" t="s">
        <v>42</v>
      </c>
      <c r="G510" t="s">
        <v>24</v>
      </c>
      <c r="H510">
        <v>52</v>
      </c>
      <c r="I510" s="1">
        <v>35854</v>
      </c>
      <c r="J510" s="2">
        <v>57433</v>
      </c>
      <c r="K510" s="3">
        <v>0</v>
      </c>
      <c r="L510" t="s">
        <v>37</v>
      </c>
      <c r="M510" t="s">
        <v>38</v>
      </c>
      <c r="N510" s="2">
        <f>Employee_Data[[#This Row],[Basic Salary]]*10%</f>
        <v>478.60833333333335</v>
      </c>
      <c r="O510" s="4">
        <f>Employee_Data[[#This Row],[Basic Salary]]*7.5%</f>
        <v>358.95624999999995</v>
      </c>
      <c r="P510" s="2">
        <f>Employee_Data[[#This Row],[Basic Salary]]*3%</f>
        <v>143.58249999999998</v>
      </c>
      <c r="Q510" s="2">
        <f>SUM(Employee_Data[[#This Row],[Basic Salary]],Employee_Data[[#This Row],[HRA]],Employee_Data[[#This Row],[MA]],Employee_Data[[#This Row],[TA]])</f>
        <v>5767.2304166666672</v>
      </c>
      <c r="R510" s="4">
        <f>Employee_Data[[#This Row],[Basic Salary]]*12.5%</f>
        <v>598.26041666666663</v>
      </c>
      <c r="S510" s="2">
        <f>Employee_Data[[#This Row],[Annual Salary]]/12</f>
        <v>4786.083333333333</v>
      </c>
    </row>
    <row r="511" spans="1:19" x14ac:dyDescent="0.3">
      <c r="A511" t="s">
        <v>1100</v>
      </c>
      <c r="B511" t="s">
        <v>1101</v>
      </c>
      <c r="C511" t="s">
        <v>54</v>
      </c>
      <c r="D511" t="s">
        <v>55</v>
      </c>
      <c r="E511" t="s">
        <v>56</v>
      </c>
      <c r="F511" t="s">
        <v>23</v>
      </c>
      <c r="G511" t="s">
        <v>43</v>
      </c>
      <c r="H511">
        <v>54</v>
      </c>
      <c r="I511" s="1">
        <v>40005</v>
      </c>
      <c r="J511" s="2">
        <v>74656</v>
      </c>
      <c r="K511" s="3">
        <v>0</v>
      </c>
      <c r="L511" t="s">
        <v>25</v>
      </c>
      <c r="M511" t="s">
        <v>44</v>
      </c>
      <c r="N511" s="2">
        <f>Employee_Data[[#This Row],[Basic Salary]]*10%</f>
        <v>622.13333333333333</v>
      </c>
      <c r="O511" s="4">
        <f>Employee_Data[[#This Row],[Basic Salary]]*7.5%</f>
        <v>466.59999999999997</v>
      </c>
      <c r="P511" s="2">
        <f>Employee_Data[[#This Row],[Basic Salary]]*3%</f>
        <v>186.64</v>
      </c>
      <c r="Q511" s="2">
        <f>SUM(Employee_Data[[#This Row],[Basic Salary]],Employee_Data[[#This Row],[HRA]],Employee_Data[[#This Row],[MA]],Employee_Data[[#This Row],[TA]])</f>
        <v>7496.7066666666669</v>
      </c>
      <c r="R511" s="4">
        <f>Employee_Data[[#This Row],[Basic Salary]]*12.5%</f>
        <v>777.66666666666663</v>
      </c>
      <c r="S511" s="2">
        <f>Employee_Data[[#This Row],[Annual Salary]]/12</f>
        <v>6221.333333333333</v>
      </c>
    </row>
    <row r="512" spans="1:19" x14ac:dyDescent="0.3">
      <c r="A512" t="s">
        <v>1102</v>
      </c>
      <c r="B512" t="s">
        <v>1103</v>
      </c>
      <c r="C512" t="s">
        <v>247</v>
      </c>
      <c r="D512" t="s">
        <v>126</v>
      </c>
      <c r="E512" t="s">
        <v>36</v>
      </c>
      <c r="F512" t="s">
        <v>42</v>
      </c>
      <c r="G512" t="s">
        <v>24</v>
      </c>
      <c r="H512">
        <v>31</v>
      </c>
      <c r="I512" s="1">
        <v>42605</v>
      </c>
      <c r="J512" s="2">
        <v>62848</v>
      </c>
      <c r="K512" s="3">
        <v>0</v>
      </c>
      <c r="L512" t="s">
        <v>37</v>
      </c>
      <c r="M512" t="s">
        <v>62</v>
      </c>
      <c r="N512" s="2">
        <f>Employee_Data[[#This Row],[Basic Salary]]*10%</f>
        <v>523.73333333333335</v>
      </c>
      <c r="O512" s="4">
        <f>Employee_Data[[#This Row],[Basic Salary]]*7.5%</f>
        <v>392.79999999999995</v>
      </c>
      <c r="P512" s="2">
        <f>Employee_Data[[#This Row],[Basic Salary]]*3%</f>
        <v>157.11999999999998</v>
      </c>
      <c r="Q512" s="2">
        <f>SUM(Employee_Data[[#This Row],[Basic Salary]],Employee_Data[[#This Row],[HRA]],Employee_Data[[#This Row],[MA]],Employee_Data[[#This Row],[TA]])</f>
        <v>6310.9866666666667</v>
      </c>
      <c r="R512" s="4">
        <f>Employee_Data[[#This Row],[Basic Salary]]*12.5%</f>
        <v>654.66666666666663</v>
      </c>
      <c r="S512" s="2">
        <f>Employee_Data[[#This Row],[Annual Salary]]/12</f>
        <v>5237.333333333333</v>
      </c>
    </row>
    <row r="513" spans="1:19" x14ac:dyDescent="0.3">
      <c r="A513" t="s">
        <v>1104</v>
      </c>
      <c r="B513" t="s">
        <v>1105</v>
      </c>
      <c r="C513" t="s">
        <v>173</v>
      </c>
      <c r="D513" t="s">
        <v>4</v>
      </c>
      <c r="E513" t="s">
        <v>36</v>
      </c>
      <c r="F513" t="s">
        <v>23</v>
      </c>
      <c r="G513" t="s">
        <v>24</v>
      </c>
      <c r="H513">
        <v>39</v>
      </c>
      <c r="I513" s="1">
        <v>40644</v>
      </c>
      <c r="J513" s="2">
        <v>92523</v>
      </c>
      <c r="K513" s="3">
        <v>0</v>
      </c>
      <c r="L513" t="s">
        <v>25</v>
      </c>
      <c r="M513" t="s">
        <v>70</v>
      </c>
      <c r="N513" s="2">
        <f>Employee_Data[[#This Row],[Basic Salary]]*10%</f>
        <v>771.02500000000009</v>
      </c>
      <c r="O513" s="4">
        <f>Employee_Data[[#This Row],[Basic Salary]]*7.5%</f>
        <v>578.26874999999995</v>
      </c>
      <c r="P513" s="2">
        <f>Employee_Data[[#This Row],[Basic Salary]]*3%</f>
        <v>231.3075</v>
      </c>
      <c r="Q513" s="2">
        <f>SUM(Employee_Data[[#This Row],[Basic Salary]],Employee_Data[[#This Row],[HRA]],Employee_Data[[#This Row],[MA]],Employee_Data[[#This Row],[TA]])</f>
        <v>9290.8512499999997</v>
      </c>
      <c r="R513" s="4">
        <f>Employee_Data[[#This Row],[Basic Salary]]*12.5%</f>
        <v>963.78125</v>
      </c>
      <c r="S513" s="2">
        <f>Employee_Data[[#This Row],[Annual Salary]]/12</f>
        <v>7710.25</v>
      </c>
    </row>
    <row r="514" spans="1:19" x14ac:dyDescent="0.3">
      <c r="A514" t="s">
        <v>1106</v>
      </c>
      <c r="B514" t="s">
        <v>1107</v>
      </c>
      <c r="C514" t="s">
        <v>83</v>
      </c>
      <c r="D514" t="s">
        <v>4</v>
      </c>
      <c r="E514" t="s">
        <v>56</v>
      </c>
      <c r="F514" t="s">
        <v>23</v>
      </c>
      <c r="G514" t="s">
        <v>24</v>
      </c>
      <c r="H514">
        <v>40</v>
      </c>
      <c r="I514" s="1">
        <v>41259</v>
      </c>
      <c r="J514" s="2">
        <v>142844</v>
      </c>
      <c r="K514" s="3">
        <v>0.11</v>
      </c>
      <c r="L514" t="s">
        <v>25</v>
      </c>
      <c r="M514" t="s">
        <v>70</v>
      </c>
      <c r="N514" s="2">
        <f>Employee_Data[[#This Row],[Basic Salary]]*10%</f>
        <v>1190.3666666666666</v>
      </c>
      <c r="O514" s="4">
        <f>Employee_Data[[#This Row],[Basic Salary]]*7.5%</f>
        <v>892.77499999999998</v>
      </c>
      <c r="P514" s="2">
        <f>Employee_Data[[#This Row],[Basic Salary]]*3%</f>
        <v>357.10999999999996</v>
      </c>
      <c r="Q514" s="2">
        <f>SUM(Employee_Data[[#This Row],[Basic Salary]],Employee_Data[[#This Row],[HRA]],Employee_Data[[#This Row],[MA]],Employee_Data[[#This Row],[TA]])</f>
        <v>14343.918333333333</v>
      </c>
      <c r="R514" s="4">
        <f>Employee_Data[[#This Row],[Basic Salary]]*12.5%</f>
        <v>1487.9583333333333</v>
      </c>
      <c r="S514" s="2">
        <f>Employee_Data[[#This Row],[Annual Salary]]/12</f>
        <v>11903.666666666666</v>
      </c>
    </row>
    <row r="515" spans="1:19" x14ac:dyDescent="0.3">
      <c r="A515" t="s">
        <v>1108</v>
      </c>
      <c r="B515" t="s">
        <v>1109</v>
      </c>
      <c r="C515" t="s">
        <v>69</v>
      </c>
      <c r="D515" t="s">
        <v>30</v>
      </c>
      <c r="E515" t="s">
        <v>31</v>
      </c>
      <c r="F515" t="s">
        <v>23</v>
      </c>
      <c r="G515" t="s">
        <v>66</v>
      </c>
      <c r="H515">
        <v>39</v>
      </c>
      <c r="I515" s="1">
        <v>39836</v>
      </c>
      <c r="J515" s="2">
        <v>100718</v>
      </c>
      <c r="K515" s="3">
        <v>0.05</v>
      </c>
      <c r="L515" t="s">
        <v>25</v>
      </c>
      <c r="M515" t="s">
        <v>48</v>
      </c>
      <c r="N515" s="2">
        <f>Employee_Data[[#This Row],[Basic Salary]]*10%</f>
        <v>839.31666666666661</v>
      </c>
      <c r="O515" s="4">
        <f>Employee_Data[[#This Row],[Basic Salary]]*7.5%</f>
        <v>629.48749999999995</v>
      </c>
      <c r="P515" s="2">
        <f>Employee_Data[[#This Row],[Basic Salary]]*3%</f>
        <v>251.79499999999996</v>
      </c>
      <c r="Q515" s="2">
        <f>SUM(Employee_Data[[#This Row],[Basic Salary]],Employee_Data[[#This Row],[HRA]],Employee_Data[[#This Row],[MA]],Employee_Data[[#This Row],[TA]])</f>
        <v>10113.765833333333</v>
      </c>
      <c r="R515" s="4">
        <f>Employee_Data[[#This Row],[Basic Salary]]*12.5%</f>
        <v>1049.1458333333333</v>
      </c>
      <c r="S515" s="2">
        <f>Employee_Data[[#This Row],[Annual Salary]]/12</f>
        <v>8393.1666666666661</v>
      </c>
    </row>
    <row r="516" spans="1:19" x14ac:dyDescent="0.3">
      <c r="A516" t="s">
        <v>1110</v>
      </c>
      <c r="B516" t="s">
        <v>1111</v>
      </c>
      <c r="C516" t="s">
        <v>47</v>
      </c>
      <c r="D516" t="s">
        <v>4</v>
      </c>
      <c r="E516" t="s">
        <v>36</v>
      </c>
      <c r="F516" t="s">
        <v>23</v>
      </c>
      <c r="G516" t="s">
        <v>66</v>
      </c>
      <c r="H516">
        <v>25</v>
      </c>
      <c r="I516" s="1">
        <v>44847</v>
      </c>
      <c r="J516" s="2">
        <v>154186</v>
      </c>
      <c r="K516" s="3">
        <v>0.26</v>
      </c>
      <c r="L516" t="s">
        <v>25</v>
      </c>
      <c r="M516" t="s">
        <v>48</v>
      </c>
      <c r="N516" s="2">
        <f>Employee_Data[[#This Row],[Basic Salary]]*10%</f>
        <v>1284.8833333333334</v>
      </c>
      <c r="O516" s="4">
        <f>Employee_Data[[#This Row],[Basic Salary]]*7.5%</f>
        <v>963.66250000000002</v>
      </c>
      <c r="P516" s="2">
        <f>Employee_Data[[#This Row],[Basic Salary]]*3%</f>
        <v>385.46500000000003</v>
      </c>
      <c r="Q516" s="2">
        <f>SUM(Employee_Data[[#This Row],[Basic Salary]],Employee_Data[[#This Row],[HRA]],Employee_Data[[#This Row],[MA]],Employee_Data[[#This Row],[TA]])</f>
        <v>15482.844166666668</v>
      </c>
      <c r="R516" s="4">
        <f>Employee_Data[[#This Row],[Basic Salary]]*12.5%</f>
        <v>1606.1041666666667</v>
      </c>
      <c r="S516" s="2">
        <f>Employee_Data[[#This Row],[Annual Salary]]/12</f>
        <v>12848.833333333334</v>
      </c>
    </row>
    <row r="517" spans="1:19" x14ac:dyDescent="0.3">
      <c r="A517" t="s">
        <v>1112</v>
      </c>
      <c r="B517" t="s">
        <v>1113</v>
      </c>
      <c r="C517" t="s">
        <v>436</v>
      </c>
      <c r="D517" t="s">
        <v>21</v>
      </c>
      <c r="E517" t="s">
        <v>36</v>
      </c>
      <c r="F517" t="s">
        <v>23</v>
      </c>
      <c r="G517" t="s">
        <v>24</v>
      </c>
      <c r="H517">
        <v>48</v>
      </c>
      <c r="I517" s="1">
        <v>37796</v>
      </c>
      <c r="J517" s="2">
        <v>107586</v>
      </c>
      <c r="K517" s="3">
        <v>0</v>
      </c>
      <c r="L517" t="s">
        <v>37</v>
      </c>
      <c r="M517" t="s">
        <v>38</v>
      </c>
      <c r="N517" s="2">
        <f>Employee_Data[[#This Row],[Basic Salary]]*10%</f>
        <v>896.55000000000007</v>
      </c>
      <c r="O517" s="4">
        <f>Employee_Data[[#This Row],[Basic Salary]]*7.5%</f>
        <v>672.41250000000002</v>
      </c>
      <c r="P517" s="2">
        <f>Employee_Data[[#This Row],[Basic Salary]]*3%</f>
        <v>268.96499999999997</v>
      </c>
      <c r="Q517" s="2">
        <f>SUM(Employee_Data[[#This Row],[Basic Salary]],Employee_Data[[#This Row],[HRA]],Employee_Data[[#This Row],[MA]],Employee_Data[[#This Row],[TA]])</f>
        <v>10803.4275</v>
      </c>
      <c r="R517" s="4">
        <f>Employee_Data[[#This Row],[Basic Salary]]*12.5%</f>
        <v>1120.6875</v>
      </c>
      <c r="S517" s="2">
        <f>Employee_Data[[#This Row],[Annual Salary]]/12</f>
        <v>8965.5</v>
      </c>
    </row>
    <row r="518" spans="1:19" x14ac:dyDescent="0.3">
      <c r="A518" t="s">
        <v>1114</v>
      </c>
      <c r="B518" t="s">
        <v>1115</v>
      </c>
      <c r="C518" t="s">
        <v>380</v>
      </c>
      <c r="D518" t="s">
        <v>4</v>
      </c>
      <c r="E518" t="s">
        <v>36</v>
      </c>
      <c r="F518" t="s">
        <v>42</v>
      </c>
      <c r="G518" t="s">
        <v>43</v>
      </c>
      <c r="H518">
        <v>54</v>
      </c>
      <c r="I518" s="1">
        <v>37922</v>
      </c>
      <c r="J518" s="2">
        <v>88906</v>
      </c>
      <c r="K518" s="3">
        <v>0</v>
      </c>
      <c r="L518" t="s">
        <v>25</v>
      </c>
      <c r="M518" t="s">
        <v>51</v>
      </c>
      <c r="N518" s="2">
        <f>Employee_Data[[#This Row],[Basic Salary]]*10%</f>
        <v>740.88333333333333</v>
      </c>
      <c r="O518" s="4">
        <f>Employee_Data[[#This Row],[Basic Salary]]*7.5%</f>
        <v>555.66249999999991</v>
      </c>
      <c r="P518" s="2">
        <f>Employee_Data[[#This Row],[Basic Salary]]*3%</f>
        <v>222.26499999999999</v>
      </c>
      <c r="Q518" s="2">
        <f>SUM(Employee_Data[[#This Row],[Basic Salary]],Employee_Data[[#This Row],[HRA]],Employee_Data[[#This Row],[MA]],Employee_Data[[#This Row],[TA]])</f>
        <v>8927.6441666666651</v>
      </c>
      <c r="R518" s="4">
        <f>Employee_Data[[#This Row],[Basic Salary]]*12.5%</f>
        <v>926.10416666666663</v>
      </c>
      <c r="S518" s="2">
        <f>Employee_Data[[#This Row],[Annual Salary]]/12</f>
        <v>7408.833333333333</v>
      </c>
    </row>
    <row r="519" spans="1:19" x14ac:dyDescent="0.3">
      <c r="A519" t="s">
        <v>1116</v>
      </c>
      <c r="B519" t="s">
        <v>1117</v>
      </c>
      <c r="C519" t="s">
        <v>292</v>
      </c>
      <c r="D519" t="s">
        <v>21</v>
      </c>
      <c r="E519" t="s">
        <v>22</v>
      </c>
      <c r="F519" t="s">
        <v>42</v>
      </c>
      <c r="G519" t="s">
        <v>66</v>
      </c>
      <c r="H519">
        <v>40</v>
      </c>
      <c r="I519" s="1">
        <v>43229</v>
      </c>
      <c r="J519" s="2">
        <v>74329</v>
      </c>
      <c r="K519" s="3">
        <v>0</v>
      </c>
      <c r="L519" t="s">
        <v>25</v>
      </c>
      <c r="M519" t="s">
        <v>32</v>
      </c>
      <c r="N519" s="2">
        <f>Employee_Data[[#This Row],[Basic Salary]]*10%</f>
        <v>619.4083333333333</v>
      </c>
      <c r="O519" s="4">
        <f>Employee_Data[[#This Row],[Basic Salary]]*7.5%</f>
        <v>464.55624999999998</v>
      </c>
      <c r="P519" s="2">
        <f>Employee_Data[[#This Row],[Basic Salary]]*3%</f>
        <v>185.82249999999999</v>
      </c>
      <c r="Q519" s="2">
        <f>SUM(Employee_Data[[#This Row],[Basic Salary]],Employee_Data[[#This Row],[HRA]],Employee_Data[[#This Row],[MA]],Employee_Data[[#This Row],[TA]])</f>
        <v>7463.8704166666666</v>
      </c>
      <c r="R519" s="4">
        <f>Employee_Data[[#This Row],[Basic Salary]]*12.5%</f>
        <v>774.26041666666663</v>
      </c>
      <c r="S519" s="2">
        <f>Employee_Data[[#This Row],[Annual Salary]]/12</f>
        <v>6194.083333333333</v>
      </c>
    </row>
    <row r="520" spans="1:19" x14ac:dyDescent="0.3">
      <c r="A520" t="s">
        <v>1118</v>
      </c>
      <c r="B520" t="s">
        <v>1119</v>
      </c>
      <c r="C520" t="s">
        <v>355</v>
      </c>
      <c r="D520" t="s">
        <v>4</v>
      </c>
      <c r="E520" t="s">
        <v>22</v>
      </c>
      <c r="F520" t="s">
        <v>23</v>
      </c>
      <c r="G520" t="s">
        <v>66</v>
      </c>
      <c r="H520">
        <v>32</v>
      </c>
      <c r="I520" s="1">
        <v>44301</v>
      </c>
      <c r="J520" s="2">
        <v>86523</v>
      </c>
      <c r="K520" s="3">
        <v>0</v>
      </c>
      <c r="L520" t="s">
        <v>25</v>
      </c>
      <c r="M520" t="s">
        <v>26</v>
      </c>
      <c r="N520" s="2">
        <f>Employee_Data[[#This Row],[Basic Salary]]*10%</f>
        <v>721.02500000000009</v>
      </c>
      <c r="O520" s="4">
        <f>Employee_Data[[#This Row],[Basic Salary]]*7.5%</f>
        <v>540.76874999999995</v>
      </c>
      <c r="P520" s="2">
        <f>Employee_Data[[#This Row],[Basic Salary]]*3%</f>
        <v>216.3075</v>
      </c>
      <c r="Q520" s="2">
        <f>SUM(Employee_Data[[#This Row],[Basic Salary]],Employee_Data[[#This Row],[HRA]],Employee_Data[[#This Row],[MA]],Employee_Data[[#This Row],[TA]])</f>
        <v>8688.3512499999997</v>
      </c>
      <c r="R520" s="4">
        <f>Employee_Data[[#This Row],[Basic Salary]]*12.5%</f>
        <v>901.28125</v>
      </c>
      <c r="S520" s="2">
        <f>Employee_Data[[#This Row],[Annual Salary]]/12</f>
        <v>7210.25</v>
      </c>
    </row>
    <row r="521" spans="1:19" x14ac:dyDescent="0.3">
      <c r="A521" t="s">
        <v>1120</v>
      </c>
      <c r="B521" t="s">
        <v>1121</v>
      </c>
      <c r="C521" t="s">
        <v>89</v>
      </c>
      <c r="D521" t="s">
        <v>4</v>
      </c>
      <c r="E521" t="s">
        <v>22</v>
      </c>
      <c r="F521" t="s">
        <v>23</v>
      </c>
      <c r="G521" t="s">
        <v>43</v>
      </c>
      <c r="H521">
        <v>60</v>
      </c>
      <c r="I521" s="1">
        <v>41948</v>
      </c>
      <c r="J521" s="2">
        <v>239868</v>
      </c>
      <c r="K521" s="3">
        <v>0.4</v>
      </c>
      <c r="L521" t="s">
        <v>25</v>
      </c>
      <c r="M521" t="s">
        <v>70</v>
      </c>
      <c r="N521" s="2">
        <f>Employee_Data[[#This Row],[Basic Salary]]*10%</f>
        <v>1998.9</v>
      </c>
      <c r="O521" s="4">
        <f>Employee_Data[[#This Row],[Basic Salary]]*7.5%</f>
        <v>1499.175</v>
      </c>
      <c r="P521" s="2">
        <f>Employee_Data[[#This Row],[Basic Salary]]*3%</f>
        <v>599.66999999999996</v>
      </c>
      <c r="Q521" s="2">
        <f>SUM(Employee_Data[[#This Row],[Basic Salary]],Employee_Data[[#This Row],[HRA]],Employee_Data[[#This Row],[MA]],Employee_Data[[#This Row],[TA]])</f>
        <v>24086.744999999999</v>
      </c>
      <c r="R521" s="4">
        <f>Employee_Data[[#This Row],[Basic Salary]]*12.5%</f>
        <v>2498.625</v>
      </c>
      <c r="S521" s="2">
        <f>Employee_Data[[#This Row],[Annual Salary]]/12</f>
        <v>19989</v>
      </c>
    </row>
    <row r="522" spans="1:19" x14ac:dyDescent="0.3">
      <c r="A522" t="s">
        <v>1122</v>
      </c>
      <c r="B522" t="s">
        <v>1123</v>
      </c>
      <c r="C522" t="s">
        <v>60</v>
      </c>
      <c r="D522" t="s">
        <v>61</v>
      </c>
      <c r="E522" t="s">
        <v>56</v>
      </c>
      <c r="F522" t="s">
        <v>42</v>
      </c>
      <c r="G522" t="s">
        <v>43</v>
      </c>
      <c r="H522">
        <v>29</v>
      </c>
      <c r="I522" s="1">
        <v>43241</v>
      </c>
      <c r="J522" s="2">
        <v>65010</v>
      </c>
      <c r="K522" s="3">
        <v>0</v>
      </c>
      <c r="L522" t="s">
        <v>25</v>
      </c>
      <c r="M522" t="s">
        <v>44</v>
      </c>
      <c r="N522" s="2">
        <f>Employee_Data[[#This Row],[Basic Salary]]*10%</f>
        <v>541.75</v>
      </c>
      <c r="O522" s="4">
        <f>Employee_Data[[#This Row],[Basic Salary]]*7.5%</f>
        <v>406.3125</v>
      </c>
      <c r="P522" s="2">
        <f>Employee_Data[[#This Row],[Basic Salary]]*3%</f>
        <v>162.52500000000001</v>
      </c>
      <c r="Q522" s="2">
        <f>SUM(Employee_Data[[#This Row],[Basic Salary]],Employee_Data[[#This Row],[HRA]],Employee_Data[[#This Row],[MA]],Employee_Data[[#This Row],[TA]])</f>
        <v>6528.0874999999996</v>
      </c>
      <c r="R522" s="4">
        <f>Employee_Data[[#This Row],[Basic Salary]]*12.5%</f>
        <v>677.1875</v>
      </c>
      <c r="S522" s="2">
        <f>Employee_Data[[#This Row],[Annual Salary]]/12</f>
        <v>5417.5</v>
      </c>
    </row>
    <row r="523" spans="1:19" x14ac:dyDescent="0.3">
      <c r="A523" t="s">
        <v>1124</v>
      </c>
      <c r="B523" t="s">
        <v>1125</v>
      </c>
      <c r="C523" t="s">
        <v>35</v>
      </c>
      <c r="D523" t="s">
        <v>4</v>
      </c>
      <c r="E523" t="s">
        <v>31</v>
      </c>
      <c r="F523" t="s">
        <v>42</v>
      </c>
      <c r="G523" t="s">
        <v>66</v>
      </c>
      <c r="H523">
        <v>25</v>
      </c>
      <c r="I523" s="1">
        <v>44250</v>
      </c>
      <c r="J523" s="2">
        <v>82140</v>
      </c>
      <c r="K523" s="3">
        <v>0</v>
      </c>
      <c r="L523" t="s">
        <v>25</v>
      </c>
      <c r="M523" t="s">
        <v>70</v>
      </c>
      <c r="N523" s="2">
        <f>Employee_Data[[#This Row],[Basic Salary]]*10%</f>
        <v>684.5</v>
      </c>
      <c r="O523" s="4">
        <f>Employee_Data[[#This Row],[Basic Salary]]*7.5%</f>
        <v>513.375</v>
      </c>
      <c r="P523" s="2">
        <f>Employee_Data[[#This Row],[Basic Salary]]*3%</f>
        <v>205.35</v>
      </c>
      <c r="Q523" s="2">
        <f>SUM(Employee_Data[[#This Row],[Basic Salary]],Employee_Data[[#This Row],[HRA]],Employee_Data[[#This Row],[MA]],Employee_Data[[#This Row],[TA]])</f>
        <v>8248.2250000000004</v>
      </c>
      <c r="R523" s="4">
        <f>Employee_Data[[#This Row],[Basic Salary]]*12.5%</f>
        <v>855.625</v>
      </c>
      <c r="S523" s="2">
        <f>Employee_Data[[#This Row],[Annual Salary]]/12</f>
        <v>6845</v>
      </c>
    </row>
    <row r="524" spans="1:19" x14ac:dyDescent="0.3">
      <c r="A524" t="s">
        <v>1126</v>
      </c>
      <c r="B524" t="s">
        <v>1127</v>
      </c>
      <c r="C524" t="s">
        <v>227</v>
      </c>
      <c r="D524" t="s">
        <v>4</v>
      </c>
      <c r="E524" t="s">
        <v>22</v>
      </c>
      <c r="F524" t="s">
        <v>23</v>
      </c>
      <c r="G524" t="s">
        <v>43</v>
      </c>
      <c r="H524">
        <v>34</v>
      </c>
      <c r="I524" s="1">
        <v>42532</v>
      </c>
      <c r="J524" s="2">
        <v>75511</v>
      </c>
      <c r="K524" s="3">
        <v>0</v>
      </c>
      <c r="L524" t="s">
        <v>137</v>
      </c>
      <c r="M524" t="s">
        <v>289</v>
      </c>
      <c r="N524" s="2">
        <f>Employee_Data[[#This Row],[Basic Salary]]*10%</f>
        <v>629.25833333333333</v>
      </c>
      <c r="O524" s="4">
        <f>Employee_Data[[#This Row],[Basic Salary]]*7.5%</f>
        <v>471.94374999999997</v>
      </c>
      <c r="P524" s="2">
        <f>Employee_Data[[#This Row],[Basic Salary]]*3%</f>
        <v>188.77749999999997</v>
      </c>
      <c r="Q524" s="2">
        <f>SUM(Employee_Data[[#This Row],[Basic Salary]],Employee_Data[[#This Row],[HRA]],Employee_Data[[#This Row],[MA]],Employee_Data[[#This Row],[TA]])</f>
        <v>7582.5629166666668</v>
      </c>
      <c r="R524" s="4">
        <f>Employee_Data[[#This Row],[Basic Salary]]*12.5%</f>
        <v>786.57291666666663</v>
      </c>
      <c r="S524" s="2">
        <f>Employee_Data[[#This Row],[Annual Salary]]/12</f>
        <v>6292.583333333333</v>
      </c>
    </row>
    <row r="525" spans="1:19" x14ac:dyDescent="0.3">
      <c r="A525" t="s">
        <v>1128</v>
      </c>
      <c r="B525" t="s">
        <v>1129</v>
      </c>
      <c r="C525" t="s">
        <v>89</v>
      </c>
      <c r="D525" t="s">
        <v>4</v>
      </c>
      <c r="E525" t="s">
        <v>36</v>
      </c>
      <c r="F525" t="s">
        <v>42</v>
      </c>
      <c r="G525" t="s">
        <v>84</v>
      </c>
      <c r="H525">
        <v>26</v>
      </c>
      <c r="I525" s="1">
        <v>44687</v>
      </c>
      <c r="J525" s="2">
        <v>188880</v>
      </c>
      <c r="K525" s="3">
        <v>0.36</v>
      </c>
      <c r="L525" t="s">
        <v>25</v>
      </c>
      <c r="M525" t="s">
        <v>51</v>
      </c>
      <c r="N525" s="2">
        <f>Employee_Data[[#This Row],[Basic Salary]]*10%</f>
        <v>1574</v>
      </c>
      <c r="O525" s="4">
        <f>Employee_Data[[#This Row],[Basic Salary]]*7.5%</f>
        <v>1180.5</v>
      </c>
      <c r="P525" s="2">
        <f>Employee_Data[[#This Row],[Basic Salary]]*3%</f>
        <v>472.2</v>
      </c>
      <c r="Q525" s="2">
        <f>SUM(Employee_Data[[#This Row],[Basic Salary]],Employee_Data[[#This Row],[HRA]],Employee_Data[[#This Row],[MA]],Employee_Data[[#This Row],[TA]])</f>
        <v>18966.7</v>
      </c>
      <c r="R525" s="4">
        <f>Employee_Data[[#This Row],[Basic Salary]]*12.5%</f>
        <v>1967.5</v>
      </c>
      <c r="S525" s="2">
        <f>Employee_Data[[#This Row],[Annual Salary]]/12</f>
        <v>15740</v>
      </c>
    </row>
    <row r="526" spans="1:19" x14ac:dyDescent="0.3">
      <c r="A526" t="s">
        <v>1130</v>
      </c>
      <c r="B526" t="s">
        <v>1131</v>
      </c>
      <c r="C526" t="s">
        <v>405</v>
      </c>
      <c r="D526" t="s">
        <v>30</v>
      </c>
      <c r="E526" t="s">
        <v>22</v>
      </c>
      <c r="F526" t="s">
        <v>23</v>
      </c>
      <c r="G526" t="s">
        <v>43</v>
      </c>
      <c r="H526">
        <v>39</v>
      </c>
      <c r="I526" s="1">
        <v>43058</v>
      </c>
      <c r="J526" s="2">
        <v>87155</v>
      </c>
      <c r="K526" s="3">
        <v>0</v>
      </c>
      <c r="L526" t="s">
        <v>25</v>
      </c>
      <c r="M526" t="s">
        <v>32</v>
      </c>
      <c r="N526" s="2">
        <f>Employee_Data[[#This Row],[Basic Salary]]*10%</f>
        <v>726.29166666666674</v>
      </c>
      <c r="O526" s="4">
        <f>Employee_Data[[#This Row],[Basic Salary]]*7.5%</f>
        <v>544.71875</v>
      </c>
      <c r="P526" s="2">
        <f>Employee_Data[[#This Row],[Basic Salary]]*3%</f>
        <v>217.88749999999999</v>
      </c>
      <c r="Q526" s="2">
        <f>SUM(Employee_Data[[#This Row],[Basic Salary]],Employee_Data[[#This Row],[HRA]],Employee_Data[[#This Row],[MA]],Employee_Data[[#This Row],[TA]])</f>
        <v>8751.8145833333347</v>
      </c>
      <c r="R526" s="4">
        <f>Employee_Data[[#This Row],[Basic Salary]]*12.5%</f>
        <v>907.86458333333337</v>
      </c>
      <c r="S526" s="2">
        <f>Employee_Data[[#This Row],[Annual Salary]]/12</f>
        <v>7262.916666666667</v>
      </c>
    </row>
    <row r="527" spans="1:19" x14ac:dyDescent="0.3">
      <c r="A527" t="s">
        <v>1132</v>
      </c>
      <c r="B527" t="s">
        <v>1133</v>
      </c>
      <c r="C527" t="s">
        <v>173</v>
      </c>
      <c r="D527" t="s">
        <v>4</v>
      </c>
      <c r="E527" t="s">
        <v>36</v>
      </c>
      <c r="F527" t="s">
        <v>42</v>
      </c>
      <c r="G527" t="s">
        <v>66</v>
      </c>
      <c r="H527">
        <v>34</v>
      </c>
      <c r="I527" s="1">
        <v>43401</v>
      </c>
      <c r="J527" s="2">
        <v>75518</v>
      </c>
      <c r="K527" s="3">
        <v>0</v>
      </c>
      <c r="L527" t="s">
        <v>25</v>
      </c>
      <c r="M527" t="s">
        <v>44</v>
      </c>
      <c r="N527" s="2">
        <f>Employee_Data[[#This Row],[Basic Salary]]*10%</f>
        <v>629.31666666666672</v>
      </c>
      <c r="O527" s="4">
        <f>Employee_Data[[#This Row],[Basic Salary]]*7.5%</f>
        <v>471.98750000000001</v>
      </c>
      <c r="P527" s="2">
        <f>Employee_Data[[#This Row],[Basic Salary]]*3%</f>
        <v>188.79500000000002</v>
      </c>
      <c r="Q527" s="2">
        <f>SUM(Employee_Data[[#This Row],[Basic Salary]],Employee_Data[[#This Row],[HRA]],Employee_Data[[#This Row],[MA]],Employee_Data[[#This Row],[TA]])</f>
        <v>7583.2658333333338</v>
      </c>
      <c r="R527" s="4">
        <f>Employee_Data[[#This Row],[Basic Salary]]*12.5%</f>
        <v>786.64583333333337</v>
      </c>
      <c r="S527" s="2">
        <f>Employee_Data[[#This Row],[Annual Salary]]/12</f>
        <v>6293.166666666667</v>
      </c>
    </row>
    <row r="528" spans="1:19" x14ac:dyDescent="0.3">
      <c r="A528" t="s">
        <v>1134</v>
      </c>
      <c r="B528" t="s">
        <v>1135</v>
      </c>
      <c r="C528" t="s">
        <v>83</v>
      </c>
      <c r="D528" t="s">
        <v>4</v>
      </c>
      <c r="E528" t="s">
        <v>36</v>
      </c>
      <c r="F528" t="s">
        <v>23</v>
      </c>
      <c r="G528" t="s">
        <v>43</v>
      </c>
      <c r="H528">
        <v>54</v>
      </c>
      <c r="I528" s="1">
        <v>35701</v>
      </c>
      <c r="J528" s="2">
        <v>129311</v>
      </c>
      <c r="K528" s="3">
        <v>0.13</v>
      </c>
      <c r="L528" t="s">
        <v>137</v>
      </c>
      <c r="M528" t="s">
        <v>289</v>
      </c>
      <c r="N528" s="2">
        <f>Employee_Data[[#This Row],[Basic Salary]]*10%</f>
        <v>1077.5916666666667</v>
      </c>
      <c r="O528" s="4">
        <f>Employee_Data[[#This Row],[Basic Salary]]*7.5%</f>
        <v>808.19374999999991</v>
      </c>
      <c r="P528" s="2">
        <f>Employee_Data[[#This Row],[Basic Salary]]*3%</f>
        <v>323.27749999999997</v>
      </c>
      <c r="Q528" s="2">
        <f>SUM(Employee_Data[[#This Row],[Basic Salary]],Employee_Data[[#This Row],[HRA]],Employee_Data[[#This Row],[MA]],Employee_Data[[#This Row],[TA]])</f>
        <v>12984.979583333334</v>
      </c>
      <c r="R528" s="4">
        <f>Employee_Data[[#This Row],[Basic Salary]]*12.5%</f>
        <v>1346.9895833333333</v>
      </c>
      <c r="S528" s="2">
        <f>Employee_Data[[#This Row],[Annual Salary]]/12</f>
        <v>10775.916666666666</v>
      </c>
    </row>
    <row r="529" spans="1:19" x14ac:dyDescent="0.3">
      <c r="A529" t="s">
        <v>1136</v>
      </c>
      <c r="B529" t="s">
        <v>1137</v>
      </c>
      <c r="C529" t="s">
        <v>29</v>
      </c>
      <c r="D529" t="s">
        <v>30</v>
      </c>
      <c r="E529" t="s">
        <v>22</v>
      </c>
      <c r="F529" t="s">
        <v>23</v>
      </c>
      <c r="G529" t="s">
        <v>66</v>
      </c>
      <c r="H529">
        <v>27</v>
      </c>
      <c r="I529" s="1">
        <v>44754</v>
      </c>
      <c r="J529" s="2">
        <v>56919</v>
      </c>
      <c r="K529" s="3">
        <v>0</v>
      </c>
      <c r="L529" t="s">
        <v>25</v>
      </c>
      <c r="M529" t="s">
        <v>70</v>
      </c>
      <c r="N529" s="2">
        <f>Employee_Data[[#This Row],[Basic Salary]]*10%</f>
        <v>474.32500000000005</v>
      </c>
      <c r="O529" s="4">
        <f>Employee_Data[[#This Row],[Basic Salary]]*7.5%</f>
        <v>355.74374999999998</v>
      </c>
      <c r="P529" s="2">
        <f>Employee_Data[[#This Row],[Basic Salary]]*3%</f>
        <v>142.29749999999999</v>
      </c>
      <c r="Q529" s="2">
        <f>SUM(Employee_Data[[#This Row],[Basic Salary]],Employee_Data[[#This Row],[HRA]],Employee_Data[[#This Row],[MA]],Employee_Data[[#This Row],[TA]])</f>
        <v>5715.6162499999991</v>
      </c>
      <c r="R529" s="4">
        <f>Employee_Data[[#This Row],[Basic Salary]]*12.5%</f>
        <v>592.90625</v>
      </c>
      <c r="S529" s="2">
        <f>Employee_Data[[#This Row],[Annual Salary]]/12</f>
        <v>4743.25</v>
      </c>
    </row>
    <row r="530" spans="1:19" x14ac:dyDescent="0.3">
      <c r="A530" t="s">
        <v>1138</v>
      </c>
      <c r="B530" t="s">
        <v>1139</v>
      </c>
      <c r="C530" t="s">
        <v>83</v>
      </c>
      <c r="D530" t="s">
        <v>61</v>
      </c>
      <c r="E530" t="s">
        <v>22</v>
      </c>
      <c r="F530" t="s">
        <v>42</v>
      </c>
      <c r="G530" t="s">
        <v>66</v>
      </c>
      <c r="H530">
        <v>26</v>
      </c>
      <c r="I530" s="1">
        <v>44150</v>
      </c>
      <c r="J530" s="2">
        <v>153832</v>
      </c>
      <c r="K530" s="3">
        <v>0.14000000000000001</v>
      </c>
      <c r="L530" t="s">
        <v>25</v>
      </c>
      <c r="M530" t="s">
        <v>51</v>
      </c>
      <c r="N530" s="2">
        <f>Employee_Data[[#This Row],[Basic Salary]]*10%</f>
        <v>1281.9333333333334</v>
      </c>
      <c r="O530" s="4">
        <f>Employee_Data[[#This Row],[Basic Salary]]*7.5%</f>
        <v>961.45</v>
      </c>
      <c r="P530" s="2">
        <f>Employee_Data[[#This Row],[Basic Salary]]*3%</f>
        <v>384.58</v>
      </c>
      <c r="Q530" s="2">
        <f>SUM(Employee_Data[[#This Row],[Basic Salary]],Employee_Data[[#This Row],[HRA]],Employee_Data[[#This Row],[MA]],Employee_Data[[#This Row],[TA]])</f>
        <v>15447.296666666667</v>
      </c>
      <c r="R530" s="4">
        <f>Employee_Data[[#This Row],[Basic Salary]]*12.5%</f>
        <v>1602.4166666666667</v>
      </c>
      <c r="S530" s="2">
        <f>Employee_Data[[#This Row],[Annual Salary]]/12</f>
        <v>12819.333333333334</v>
      </c>
    </row>
    <row r="531" spans="1:19" x14ac:dyDescent="0.3">
      <c r="A531" t="s">
        <v>1140</v>
      </c>
      <c r="B531" t="s">
        <v>1141</v>
      </c>
      <c r="C531" t="s">
        <v>89</v>
      </c>
      <c r="D531" t="s">
        <v>21</v>
      </c>
      <c r="E531" t="s">
        <v>56</v>
      </c>
      <c r="F531" t="s">
        <v>42</v>
      </c>
      <c r="G531" t="s">
        <v>66</v>
      </c>
      <c r="H531">
        <v>26</v>
      </c>
      <c r="I531" s="1">
        <v>44778</v>
      </c>
      <c r="J531" s="2">
        <v>211121</v>
      </c>
      <c r="K531" s="3">
        <v>0.35</v>
      </c>
      <c r="L531" t="s">
        <v>25</v>
      </c>
      <c r="M531" t="s">
        <v>51</v>
      </c>
      <c r="N531" s="2">
        <f>Employee_Data[[#This Row],[Basic Salary]]*10%</f>
        <v>1759.3416666666669</v>
      </c>
      <c r="O531" s="4">
        <f>Employee_Data[[#This Row],[Basic Salary]]*7.5%</f>
        <v>1319.5062500000001</v>
      </c>
      <c r="P531" s="2">
        <f>Employee_Data[[#This Row],[Basic Salary]]*3%</f>
        <v>527.80250000000001</v>
      </c>
      <c r="Q531" s="2">
        <f>SUM(Employee_Data[[#This Row],[Basic Salary]],Employee_Data[[#This Row],[HRA]],Employee_Data[[#This Row],[MA]],Employee_Data[[#This Row],[TA]])</f>
        <v>21200.067083333335</v>
      </c>
      <c r="R531" s="4">
        <f>Employee_Data[[#This Row],[Basic Salary]]*12.5%</f>
        <v>2199.1770833333335</v>
      </c>
      <c r="S531" s="2">
        <f>Employee_Data[[#This Row],[Annual Salary]]/12</f>
        <v>17593.416666666668</v>
      </c>
    </row>
    <row r="532" spans="1:19" x14ac:dyDescent="0.3">
      <c r="A532" t="s">
        <v>1142</v>
      </c>
      <c r="B532" t="s">
        <v>1143</v>
      </c>
      <c r="C532" t="s">
        <v>69</v>
      </c>
      <c r="D532" t="s">
        <v>30</v>
      </c>
      <c r="E532" t="s">
        <v>31</v>
      </c>
      <c r="F532" t="s">
        <v>42</v>
      </c>
      <c r="G532" t="s">
        <v>43</v>
      </c>
      <c r="H532">
        <v>29</v>
      </c>
      <c r="I532" s="1">
        <v>43648</v>
      </c>
      <c r="J532" s="2">
        <v>106456</v>
      </c>
      <c r="K532" s="3">
        <v>0.1</v>
      </c>
      <c r="L532" t="s">
        <v>25</v>
      </c>
      <c r="M532" t="s">
        <v>26</v>
      </c>
      <c r="N532" s="2">
        <f>Employee_Data[[#This Row],[Basic Salary]]*10%</f>
        <v>887.13333333333344</v>
      </c>
      <c r="O532" s="4">
        <f>Employee_Data[[#This Row],[Basic Salary]]*7.5%</f>
        <v>665.35</v>
      </c>
      <c r="P532" s="2">
        <f>Employee_Data[[#This Row],[Basic Salary]]*3%</f>
        <v>266.14</v>
      </c>
      <c r="Q532" s="2">
        <f>SUM(Employee_Data[[#This Row],[Basic Salary]],Employee_Data[[#This Row],[HRA]],Employee_Data[[#This Row],[MA]],Employee_Data[[#This Row],[TA]])</f>
        <v>10689.956666666667</v>
      </c>
      <c r="R532" s="4">
        <f>Employee_Data[[#This Row],[Basic Salary]]*12.5%</f>
        <v>1108.9166666666667</v>
      </c>
      <c r="S532" s="2">
        <f>Employee_Data[[#This Row],[Annual Salary]]/12</f>
        <v>8871.3333333333339</v>
      </c>
    </row>
    <row r="533" spans="1:19" x14ac:dyDescent="0.3">
      <c r="A533" t="s">
        <v>1144</v>
      </c>
      <c r="B533" t="s">
        <v>1145</v>
      </c>
      <c r="C533" t="s">
        <v>380</v>
      </c>
      <c r="D533" t="s">
        <v>4</v>
      </c>
      <c r="E533" t="s">
        <v>31</v>
      </c>
      <c r="F533" t="s">
        <v>23</v>
      </c>
      <c r="G533" t="s">
        <v>43</v>
      </c>
      <c r="H533">
        <v>64</v>
      </c>
      <c r="I533" s="1">
        <v>35626</v>
      </c>
      <c r="J533" s="2">
        <v>72772</v>
      </c>
      <c r="K533" s="3">
        <v>0</v>
      </c>
      <c r="L533" t="s">
        <v>137</v>
      </c>
      <c r="M533" t="s">
        <v>289</v>
      </c>
      <c r="N533" s="2">
        <f>Employee_Data[[#This Row],[Basic Salary]]*10%</f>
        <v>606.43333333333328</v>
      </c>
      <c r="O533" s="4">
        <f>Employee_Data[[#This Row],[Basic Salary]]*7.5%</f>
        <v>454.82499999999999</v>
      </c>
      <c r="P533" s="2">
        <f>Employee_Data[[#This Row],[Basic Salary]]*3%</f>
        <v>181.92999999999998</v>
      </c>
      <c r="Q533" s="2">
        <f>SUM(Employee_Data[[#This Row],[Basic Salary]],Employee_Data[[#This Row],[HRA]],Employee_Data[[#This Row],[MA]],Employee_Data[[#This Row],[TA]])</f>
        <v>7307.5216666666665</v>
      </c>
      <c r="R533" s="4">
        <f>Employee_Data[[#This Row],[Basic Salary]]*12.5%</f>
        <v>758.04166666666663</v>
      </c>
      <c r="S533" s="2">
        <f>Employee_Data[[#This Row],[Annual Salary]]/12</f>
        <v>6064.333333333333</v>
      </c>
    </row>
    <row r="534" spans="1:19" x14ac:dyDescent="0.3">
      <c r="A534" t="s">
        <v>1146</v>
      </c>
      <c r="B534" t="s">
        <v>1147</v>
      </c>
      <c r="C534" t="s">
        <v>83</v>
      </c>
      <c r="D534" t="s">
        <v>55</v>
      </c>
      <c r="E534" t="s">
        <v>36</v>
      </c>
      <c r="F534" t="s">
        <v>23</v>
      </c>
      <c r="G534" t="s">
        <v>43</v>
      </c>
      <c r="H534">
        <v>45</v>
      </c>
      <c r="I534" s="1">
        <v>37113</v>
      </c>
      <c r="J534" s="2">
        <v>143146</v>
      </c>
      <c r="K534" s="3">
        <v>0.14000000000000001</v>
      </c>
      <c r="L534" t="s">
        <v>25</v>
      </c>
      <c r="M534" t="s">
        <v>32</v>
      </c>
      <c r="N534" s="2">
        <f>Employee_Data[[#This Row],[Basic Salary]]*10%</f>
        <v>1192.8833333333334</v>
      </c>
      <c r="O534" s="4">
        <f>Employee_Data[[#This Row],[Basic Salary]]*7.5%</f>
        <v>894.66250000000002</v>
      </c>
      <c r="P534" s="2">
        <f>Employee_Data[[#This Row],[Basic Salary]]*3%</f>
        <v>357.86500000000001</v>
      </c>
      <c r="Q534" s="2">
        <f>SUM(Employee_Data[[#This Row],[Basic Salary]],Employee_Data[[#This Row],[HRA]],Employee_Data[[#This Row],[MA]],Employee_Data[[#This Row],[TA]])</f>
        <v>14374.244166666667</v>
      </c>
      <c r="R534" s="4">
        <f>Employee_Data[[#This Row],[Basic Salary]]*12.5%</f>
        <v>1491.1041666666667</v>
      </c>
      <c r="S534" s="2">
        <f>Employee_Data[[#This Row],[Annual Salary]]/12</f>
        <v>11928.833333333334</v>
      </c>
    </row>
    <row r="535" spans="1:19" x14ac:dyDescent="0.3">
      <c r="A535" t="s">
        <v>1148</v>
      </c>
      <c r="B535" t="s">
        <v>1149</v>
      </c>
      <c r="C535" t="s">
        <v>60</v>
      </c>
      <c r="D535" t="s">
        <v>80</v>
      </c>
      <c r="E535" t="s">
        <v>22</v>
      </c>
      <c r="F535" t="s">
        <v>42</v>
      </c>
      <c r="G535" t="s">
        <v>24</v>
      </c>
      <c r="H535">
        <v>45</v>
      </c>
      <c r="I535" s="1">
        <v>43458</v>
      </c>
      <c r="J535" s="2">
        <v>74776</v>
      </c>
      <c r="K535" s="3">
        <v>0</v>
      </c>
      <c r="L535" t="s">
        <v>25</v>
      </c>
      <c r="M535" t="s">
        <v>44</v>
      </c>
      <c r="N535" s="2">
        <f>Employee_Data[[#This Row],[Basic Salary]]*10%</f>
        <v>623.13333333333333</v>
      </c>
      <c r="O535" s="4">
        <f>Employee_Data[[#This Row],[Basic Salary]]*7.5%</f>
        <v>467.34999999999997</v>
      </c>
      <c r="P535" s="2">
        <f>Employee_Data[[#This Row],[Basic Salary]]*3%</f>
        <v>186.94</v>
      </c>
      <c r="Q535" s="2">
        <f>SUM(Employee_Data[[#This Row],[Basic Salary]],Employee_Data[[#This Row],[HRA]],Employee_Data[[#This Row],[MA]],Employee_Data[[#This Row],[TA]])</f>
        <v>7508.7566666666662</v>
      </c>
      <c r="R535" s="4">
        <f>Employee_Data[[#This Row],[Basic Salary]]*12.5%</f>
        <v>778.91666666666663</v>
      </c>
      <c r="S535" s="2">
        <f>Employee_Data[[#This Row],[Annual Salary]]/12</f>
        <v>6231.333333333333</v>
      </c>
    </row>
    <row r="536" spans="1:19" x14ac:dyDescent="0.3">
      <c r="A536" t="s">
        <v>1150</v>
      </c>
      <c r="B536" t="s">
        <v>1151</v>
      </c>
      <c r="C536" t="s">
        <v>405</v>
      </c>
      <c r="D536" t="s">
        <v>30</v>
      </c>
      <c r="E536" t="s">
        <v>56</v>
      </c>
      <c r="F536" t="s">
        <v>23</v>
      </c>
      <c r="G536" t="s">
        <v>43</v>
      </c>
      <c r="H536">
        <v>51</v>
      </c>
      <c r="I536" s="1">
        <v>44452</v>
      </c>
      <c r="J536" s="2">
        <v>92305</v>
      </c>
      <c r="K536" s="3">
        <v>0</v>
      </c>
      <c r="L536" t="s">
        <v>25</v>
      </c>
      <c r="M536" t="s">
        <v>32</v>
      </c>
      <c r="N536" s="2">
        <f>Employee_Data[[#This Row],[Basic Salary]]*10%</f>
        <v>769.20833333333337</v>
      </c>
      <c r="O536" s="4">
        <f>Employee_Data[[#This Row],[Basic Salary]]*7.5%</f>
        <v>576.90625</v>
      </c>
      <c r="P536" s="2">
        <f>Employee_Data[[#This Row],[Basic Salary]]*3%</f>
        <v>230.76249999999999</v>
      </c>
      <c r="Q536" s="2">
        <f>SUM(Employee_Data[[#This Row],[Basic Salary]],Employee_Data[[#This Row],[HRA]],Employee_Data[[#This Row],[MA]],Employee_Data[[#This Row],[TA]])</f>
        <v>9268.9604166666668</v>
      </c>
      <c r="R536" s="4">
        <f>Employee_Data[[#This Row],[Basic Salary]]*12.5%</f>
        <v>961.51041666666663</v>
      </c>
      <c r="S536" s="2">
        <f>Employee_Data[[#This Row],[Annual Salary]]/12</f>
        <v>7692.083333333333</v>
      </c>
    </row>
    <row r="537" spans="1:19" x14ac:dyDescent="0.3">
      <c r="A537" t="s">
        <v>1152</v>
      </c>
      <c r="B537" t="s">
        <v>1153</v>
      </c>
      <c r="C537" t="s">
        <v>41</v>
      </c>
      <c r="D537" t="s">
        <v>4</v>
      </c>
      <c r="E537" t="s">
        <v>22</v>
      </c>
      <c r="F537" t="s">
        <v>23</v>
      </c>
      <c r="G537" t="s">
        <v>43</v>
      </c>
      <c r="H537">
        <v>56</v>
      </c>
      <c r="I537" s="1">
        <v>38443</v>
      </c>
      <c r="J537" s="2">
        <v>94724</v>
      </c>
      <c r="K537" s="3">
        <v>0</v>
      </c>
      <c r="L537" t="s">
        <v>25</v>
      </c>
      <c r="M537" t="s">
        <v>32</v>
      </c>
      <c r="N537" s="2">
        <f>Employee_Data[[#This Row],[Basic Salary]]*10%</f>
        <v>789.36666666666679</v>
      </c>
      <c r="O537" s="4">
        <f>Employee_Data[[#This Row],[Basic Salary]]*7.5%</f>
        <v>592.02499999999998</v>
      </c>
      <c r="P537" s="2">
        <f>Employee_Data[[#This Row],[Basic Salary]]*3%</f>
        <v>236.81</v>
      </c>
      <c r="Q537" s="2">
        <f>SUM(Employee_Data[[#This Row],[Basic Salary]],Employee_Data[[#This Row],[HRA]],Employee_Data[[#This Row],[MA]],Employee_Data[[#This Row],[TA]])</f>
        <v>9511.868333333332</v>
      </c>
      <c r="R537" s="4">
        <f>Employee_Data[[#This Row],[Basic Salary]]*12.5%</f>
        <v>986.70833333333337</v>
      </c>
      <c r="S537" s="2">
        <f>Employee_Data[[#This Row],[Annual Salary]]/12</f>
        <v>7893.666666666667</v>
      </c>
    </row>
    <row r="538" spans="1:19" x14ac:dyDescent="0.3">
      <c r="A538" t="s">
        <v>1154</v>
      </c>
      <c r="B538" t="s">
        <v>1155</v>
      </c>
      <c r="C538" t="s">
        <v>101</v>
      </c>
      <c r="D538" t="s">
        <v>4</v>
      </c>
      <c r="E538" t="s">
        <v>56</v>
      </c>
      <c r="F538" t="s">
        <v>23</v>
      </c>
      <c r="G538" t="s">
        <v>24</v>
      </c>
      <c r="H538">
        <v>58</v>
      </c>
      <c r="I538" s="1">
        <v>35016</v>
      </c>
      <c r="J538" s="2">
        <v>88019</v>
      </c>
      <c r="K538" s="3">
        <v>0</v>
      </c>
      <c r="L538" t="s">
        <v>25</v>
      </c>
      <c r="M538" t="s">
        <v>48</v>
      </c>
      <c r="N538" s="2">
        <f>Employee_Data[[#This Row],[Basic Salary]]*10%</f>
        <v>733.49166666666679</v>
      </c>
      <c r="O538" s="4">
        <f>Employee_Data[[#This Row],[Basic Salary]]*7.5%</f>
        <v>550.11874999999998</v>
      </c>
      <c r="P538" s="2">
        <f>Employee_Data[[#This Row],[Basic Salary]]*3%</f>
        <v>220.04750000000001</v>
      </c>
      <c r="Q538" s="2">
        <f>SUM(Employee_Data[[#This Row],[Basic Salary]],Employee_Data[[#This Row],[HRA]],Employee_Data[[#This Row],[MA]],Employee_Data[[#This Row],[TA]])</f>
        <v>8838.5745833333349</v>
      </c>
      <c r="R538" s="4">
        <f>Employee_Data[[#This Row],[Basic Salary]]*12.5%</f>
        <v>916.86458333333337</v>
      </c>
      <c r="S538" s="2">
        <f>Employee_Data[[#This Row],[Annual Salary]]/12</f>
        <v>7334.916666666667</v>
      </c>
    </row>
    <row r="539" spans="1:19" x14ac:dyDescent="0.3">
      <c r="A539" t="s">
        <v>1156</v>
      </c>
      <c r="B539" t="s">
        <v>1157</v>
      </c>
      <c r="C539" t="s">
        <v>69</v>
      </c>
      <c r="D539" t="s">
        <v>126</v>
      </c>
      <c r="E539" t="s">
        <v>31</v>
      </c>
      <c r="F539" t="s">
        <v>23</v>
      </c>
      <c r="G539" t="s">
        <v>84</v>
      </c>
      <c r="H539">
        <v>43</v>
      </c>
      <c r="I539" s="1">
        <v>42632</v>
      </c>
      <c r="J539" s="2">
        <v>108000</v>
      </c>
      <c r="K539" s="3">
        <v>0.1</v>
      </c>
      <c r="L539" t="s">
        <v>25</v>
      </c>
      <c r="M539" t="s">
        <v>26</v>
      </c>
      <c r="N539" s="2">
        <f>Employee_Data[[#This Row],[Basic Salary]]*10%</f>
        <v>900</v>
      </c>
      <c r="O539" s="4">
        <f>Employee_Data[[#This Row],[Basic Salary]]*7.5%</f>
        <v>675</v>
      </c>
      <c r="P539" s="2">
        <f>Employee_Data[[#This Row],[Basic Salary]]*3%</f>
        <v>270</v>
      </c>
      <c r="Q539" s="2">
        <f>SUM(Employee_Data[[#This Row],[Basic Salary]],Employee_Data[[#This Row],[HRA]],Employee_Data[[#This Row],[MA]],Employee_Data[[#This Row],[TA]])</f>
        <v>10845</v>
      </c>
      <c r="R539" s="4">
        <f>Employee_Data[[#This Row],[Basic Salary]]*12.5%</f>
        <v>1125</v>
      </c>
      <c r="S539" s="2">
        <f>Employee_Data[[#This Row],[Annual Salary]]/12</f>
        <v>9000</v>
      </c>
    </row>
    <row r="540" spans="1:19" x14ac:dyDescent="0.3">
      <c r="A540" t="s">
        <v>1158</v>
      </c>
      <c r="B540" t="s">
        <v>1159</v>
      </c>
      <c r="C540" t="s">
        <v>380</v>
      </c>
      <c r="D540" t="s">
        <v>4</v>
      </c>
      <c r="E540" t="s">
        <v>31</v>
      </c>
      <c r="F540" t="s">
        <v>23</v>
      </c>
      <c r="G540" t="s">
        <v>24</v>
      </c>
      <c r="H540">
        <v>52</v>
      </c>
      <c r="I540" s="1">
        <v>43308</v>
      </c>
      <c r="J540" s="2">
        <v>81438</v>
      </c>
      <c r="K540" s="3">
        <v>0</v>
      </c>
      <c r="L540" t="s">
        <v>37</v>
      </c>
      <c r="M540" t="s">
        <v>111</v>
      </c>
      <c r="N540" s="2">
        <f>Employee_Data[[#This Row],[Basic Salary]]*10%</f>
        <v>678.65000000000009</v>
      </c>
      <c r="O540" s="4">
        <f>Employee_Data[[#This Row],[Basic Salary]]*7.5%</f>
        <v>508.98749999999995</v>
      </c>
      <c r="P540" s="2">
        <f>Employee_Data[[#This Row],[Basic Salary]]*3%</f>
        <v>203.595</v>
      </c>
      <c r="Q540" s="2">
        <f>SUM(Employee_Data[[#This Row],[Basic Salary]],Employee_Data[[#This Row],[HRA]],Employee_Data[[#This Row],[MA]],Employee_Data[[#This Row],[TA]])</f>
        <v>8177.7325000000001</v>
      </c>
      <c r="R540" s="4">
        <f>Employee_Data[[#This Row],[Basic Salary]]*12.5%</f>
        <v>848.3125</v>
      </c>
      <c r="S540" s="2">
        <f>Employee_Data[[#This Row],[Annual Salary]]/12</f>
        <v>6786.5</v>
      </c>
    </row>
    <row r="541" spans="1:19" x14ac:dyDescent="0.3">
      <c r="A541" t="s">
        <v>1160</v>
      </c>
      <c r="B541" t="s">
        <v>1161</v>
      </c>
      <c r="C541" t="s">
        <v>180</v>
      </c>
      <c r="D541" t="s">
        <v>4</v>
      </c>
      <c r="E541" t="s">
        <v>31</v>
      </c>
      <c r="F541" t="s">
        <v>23</v>
      </c>
      <c r="G541" t="s">
        <v>24</v>
      </c>
      <c r="H541">
        <v>41</v>
      </c>
      <c r="I541" s="1">
        <v>43243</v>
      </c>
      <c r="J541" s="2">
        <v>95669</v>
      </c>
      <c r="K541" s="3">
        <v>0.1</v>
      </c>
      <c r="L541" t="s">
        <v>37</v>
      </c>
      <c r="M541" t="s">
        <v>38</v>
      </c>
      <c r="N541" s="2">
        <f>Employee_Data[[#This Row],[Basic Salary]]*10%</f>
        <v>797.24166666666679</v>
      </c>
      <c r="O541" s="4">
        <f>Employee_Data[[#This Row],[Basic Salary]]*7.5%</f>
        <v>597.93124999999998</v>
      </c>
      <c r="P541" s="2">
        <f>Employee_Data[[#This Row],[Basic Salary]]*3%</f>
        <v>239.17250000000001</v>
      </c>
      <c r="Q541" s="2">
        <f>SUM(Employee_Data[[#This Row],[Basic Salary]],Employee_Data[[#This Row],[HRA]],Employee_Data[[#This Row],[MA]],Employee_Data[[#This Row],[TA]])</f>
        <v>9606.7620833333331</v>
      </c>
      <c r="R541" s="4">
        <f>Employee_Data[[#This Row],[Basic Salary]]*12.5%</f>
        <v>996.55208333333337</v>
      </c>
      <c r="S541" s="2">
        <f>Employee_Data[[#This Row],[Annual Salary]]/12</f>
        <v>7972.416666666667</v>
      </c>
    </row>
    <row r="542" spans="1:19" x14ac:dyDescent="0.3">
      <c r="A542" t="s">
        <v>1162</v>
      </c>
      <c r="B542" t="s">
        <v>1163</v>
      </c>
      <c r="C542" t="s">
        <v>89</v>
      </c>
      <c r="D542" t="s">
        <v>55</v>
      </c>
      <c r="E542" t="s">
        <v>56</v>
      </c>
      <c r="F542" t="s">
        <v>23</v>
      </c>
      <c r="G542" t="s">
        <v>66</v>
      </c>
      <c r="H542">
        <v>43</v>
      </c>
      <c r="I542" s="1">
        <v>42415</v>
      </c>
      <c r="J542" s="2">
        <v>180385</v>
      </c>
      <c r="K542" s="3">
        <v>0.33</v>
      </c>
      <c r="L542" t="s">
        <v>25</v>
      </c>
      <c r="M542" t="s">
        <v>26</v>
      </c>
      <c r="N542" s="2">
        <f>Employee_Data[[#This Row],[Basic Salary]]*10%</f>
        <v>1503.2083333333335</v>
      </c>
      <c r="O542" s="4">
        <f>Employee_Data[[#This Row],[Basic Salary]]*7.5%</f>
        <v>1127.40625</v>
      </c>
      <c r="P542" s="2">
        <f>Employee_Data[[#This Row],[Basic Salary]]*3%</f>
        <v>450.96249999999998</v>
      </c>
      <c r="Q542" s="2">
        <f>SUM(Employee_Data[[#This Row],[Basic Salary]],Employee_Data[[#This Row],[HRA]],Employee_Data[[#This Row],[MA]],Employee_Data[[#This Row],[TA]])</f>
        <v>18113.660416666669</v>
      </c>
      <c r="R542" s="4">
        <f>Employee_Data[[#This Row],[Basic Salary]]*12.5%</f>
        <v>1879.0104166666667</v>
      </c>
      <c r="S542" s="2">
        <f>Employee_Data[[#This Row],[Annual Salary]]/12</f>
        <v>15032.083333333334</v>
      </c>
    </row>
    <row r="543" spans="1:19" x14ac:dyDescent="0.3">
      <c r="A543" t="s">
        <v>1164</v>
      </c>
      <c r="B543" t="s">
        <v>1165</v>
      </c>
      <c r="C543" t="s">
        <v>159</v>
      </c>
      <c r="D543" t="s">
        <v>4</v>
      </c>
      <c r="E543" t="s">
        <v>36</v>
      </c>
      <c r="F543" t="s">
        <v>23</v>
      </c>
      <c r="G543" t="s">
        <v>43</v>
      </c>
      <c r="H543">
        <v>36</v>
      </c>
      <c r="I543" s="1">
        <v>42399</v>
      </c>
      <c r="J543" s="2">
        <v>45184</v>
      </c>
      <c r="K543" s="3">
        <v>0</v>
      </c>
      <c r="L543" t="s">
        <v>137</v>
      </c>
      <c r="M543" t="s">
        <v>183</v>
      </c>
      <c r="N543" s="2">
        <f>Employee_Data[[#This Row],[Basic Salary]]*10%</f>
        <v>376.53333333333336</v>
      </c>
      <c r="O543" s="4">
        <f>Employee_Data[[#This Row],[Basic Salary]]*7.5%</f>
        <v>282.39999999999998</v>
      </c>
      <c r="P543" s="2">
        <f>Employee_Data[[#This Row],[Basic Salary]]*3%</f>
        <v>112.96</v>
      </c>
      <c r="Q543" s="2">
        <f>SUM(Employee_Data[[#This Row],[Basic Salary]],Employee_Data[[#This Row],[HRA]],Employee_Data[[#This Row],[MA]],Employee_Data[[#This Row],[TA]])</f>
        <v>4537.2266666666665</v>
      </c>
      <c r="R543" s="4">
        <f>Employee_Data[[#This Row],[Basic Salary]]*12.5%</f>
        <v>470.66666666666669</v>
      </c>
      <c r="S543" s="2">
        <f>Employee_Data[[#This Row],[Annual Salary]]/12</f>
        <v>3765.3333333333335</v>
      </c>
    </row>
    <row r="544" spans="1:19" x14ac:dyDescent="0.3">
      <c r="A544" t="s">
        <v>1166</v>
      </c>
      <c r="B544" t="s">
        <v>1167</v>
      </c>
      <c r="C544" t="s">
        <v>408</v>
      </c>
      <c r="D544" t="s">
        <v>21</v>
      </c>
      <c r="E544" t="s">
        <v>36</v>
      </c>
      <c r="F544" t="s">
        <v>23</v>
      </c>
      <c r="G544" t="s">
        <v>66</v>
      </c>
      <c r="H544">
        <v>55</v>
      </c>
      <c r="I544" s="1">
        <v>39302</v>
      </c>
      <c r="J544" s="2">
        <v>70451</v>
      </c>
      <c r="K544" s="3">
        <v>0</v>
      </c>
      <c r="L544" t="s">
        <v>25</v>
      </c>
      <c r="M544" t="s">
        <v>44</v>
      </c>
      <c r="N544" s="2">
        <f>Employee_Data[[#This Row],[Basic Salary]]*10%</f>
        <v>587.0916666666667</v>
      </c>
      <c r="O544" s="4">
        <f>Employee_Data[[#This Row],[Basic Salary]]*7.5%</f>
        <v>440.31875000000002</v>
      </c>
      <c r="P544" s="2">
        <f>Employee_Data[[#This Row],[Basic Salary]]*3%</f>
        <v>176.1275</v>
      </c>
      <c r="Q544" s="2">
        <f>SUM(Employee_Data[[#This Row],[Basic Salary]],Employee_Data[[#This Row],[HRA]],Employee_Data[[#This Row],[MA]],Employee_Data[[#This Row],[TA]])</f>
        <v>7074.4545833333332</v>
      </c>
      <c r="R544" s="4">
        <f>Employee_Data[[#This Row],[Basic Salary]]*12.5%</f>
        <v>733.86458333333337</v>
      </c>
      <c r="S544" s="2">
        <f>Employee_Data[[#This Row],[Annual Salary]]/12</f>
        <v>5870.916666666667</v>
      </c>
    </row>
    <row r="545" spans="1:19" x14ac:dyDescent="0.3">
      <c r="A545" t="s">
        <v>1168</v>
      </c>
      <c r="B545" t="s">
        <v>1169</v>
      </c>
      <c r="C545" t="s">
        <v>101</v>
      </c>
      <c r="D545" t="s">
        <v>4</v>
      </c>
      <c r="E545" t="s">
        <v>56</v>
      </c>
      <c r="F545" t="s">
        <v>42</v>
      </c>
      <c r="G545" t="s">
        <v>24</v>
      </c>
      <c r="H545">
        <v>39</v>
      </c>
      <c r="I545" s="1">
        <v>39908</v>
      </c>
      <c r="J545" s="2">
        <v>63259</v>
      </c>
      <c r="K545" s="3">
        <v>0</v>
      </c>
      <c r="L545" t="s">
        <v>25</v>
      </c>
      <c r="M545" t="s">
        <v>32</v>
      </c>
      <c r="N545" s="2">
        <f>Employee_Data[[#This Row],[Basic Salary]]*10%</f>
        <v>527.1583333333333</v>
      </c>
      <c r="O545" s="4">
        <f>Employee_Data[[#This Row],[Basic Salary]]*7.5%</f>
        <v>395.36874999999998</v>
      </c>
      <c r="P545" s="2">
        <f>Employee_Data[[#This Row],[Basic Salary]]*3%</f>
        <v>158.14749999999998</v>
      </c>
      <c r="Q545" s="2">
        <f>SUM(Employee_Data[[#This Row],[Basic Salary]],Employee_Data[[#This Row],[HRA]],Employee_Data[[#This Row],[MA]],Employee_Data[[#This Row],[TA]])</f>
        <v>6352.2579166666665</v>
      </c>
      <c r="R545" s="4">
        <f>Employee_Data[[#This Row],[Basic Salary]]*12.5%</f>
        <v>658.94791666666663</v>
      </c>
      <c r="S545" s="2">
        <f>Employee_Data[[#This Row],[Annual Salary]]/12</f>
        <v>5271.583333333333</v>
      </c>
    </row>
    <row r="546" spans="1:19" x14ac:dyDescent="0.3">
      <c r="A546" t="s">
        <v>1170</v>
      </c>
      <c r="B546" t="s">
        <v>1171</v>
      </c>
      <c r="C546" t="s">
        <v>60</v>
      </c>
      <c r="D546" t="s">
        <v>55</v>
      </c>
      <c r="E546" t="s">
        <v>31</v>
      </c>
      <c r="F546" t="s">
        <v>42</v>
      </c>
      <c r="G546" t="s">
        <v>66</v>
      </c>
      <c r="H546">
        <v>56</v>
      </c>
      <c r="I546" s="1">
        <v>36951</v>
      </c>
      <c r="J546" s="2">
        <v>73778</v>
      </c>
      <c r="K546" s="3">
        <v>0</v>
      </c>
      <c r="L546" t="s">
        <v>25</v>
      </c>
      <c r="M546" t="s">
        <v>70</v>
      </c>
      <c r="N546" s="2">
        <f>Employee_Data[[#This Row],[Basic Salary]]*10%</f>
        <v>614.81666666666672</v>
      </c>
      <c r="O546" s="4">
        <f>Employee_Data[[#This Row],[Basic Salary]]*7.5%</f>
        <v>461.11250000000001</v>
      </c>
      <c r="P546" s="2">
        <f>Employee_Data[[#This Row],[Basic Salary]]*3%</f>
        <v>184.44499999999999</v>
      </c>
      <c r="Q546" s="2">
        <f>SUM(Employee_Data[[#This Row],[Basic Salary]],Employee_Data[[#This Row],[HRA]],Employee_Data[[#This Row],[MA]],Employee_Data[[#This Row],[TA]])</f>
        <v>7408.5408333333335</v>
      </c>
      <c r="R546" s="4">
        <f>Employee_Data[[#This Row],[Basic Salary]]*12.5%</f>
        <v>768.52083333333337</v>
      </c>
      <c r="S546" s="2">
        <f>Employee_Data[[#This Row],[Annual Salary]]/12</f>
        <v>6148.166666666667</v>
      </c>
    </row>
    <row r="547" spans="1:19" x14ac:dyDescent="0.3">
      <c r="A547" t="s">
        <v>1172</v>
      </c>
      <c r="B547" t="s">
        <v>1173</v>
      </c>
      <c r="C547" t="s">
        <v>83</v>
      </c>
      <c r="D547" t="s">
        <v>30</v>
      </c>
      <c r="E547" t="s">
        <v>36</v>
      </c>
      <c r="F547" t="s">
        <v>23</v>
      </c>
      <c r="G547" t="s">
        <v>24</v>
      </c>
      <c r="H547">
        <v>45</v>
      </c>
      <c r="I547" s="1">
        <v>39875</v>
      </c>
      <c r="J547" s="2">
        <v>126697</v>
      </c>
      <c r="K547" s="3">
        <v>0.13</v>
      </c>
      <c r="L547" t="s">
        <v>37</v>
      </c>
      <c r="M547" t="s">
        <v>111</v>
      </c>
      <c r="N547" s="2">
        <f>Employee_Data[[#This Row],[Basic Salary]]*10%</f>
        <v>1055.8083333333334</v>
      </c>
      <c r="O547" s="4">
        <f>Employee_Data[[#This Row],[Basic Salary]]*7.5%</f>
        <v>791.85625000000005</v>
      </c>
      <c r="P547" s="2">
        <f>Employee_Data[[#This Row],[Basic Salary]]*3%</f>
        <v>316.74250000000001</v>
      </c>
      <c r="Q547" s="2">
        <f>SUM(Employee_Data[[#This Row],[Basic Salary]],Employee_Data[[#This Row],[HRA]],Employee_Data[[#This Row],[MA]],Employee_Data[[#This Row],[TA]])</f>
        <v>12722.490416666667</v>
      </c>
      <c r="R547" s="4">
        <f>Employee_Data[[#This Row],[Basic Salary]]*12.5%</f>
        <v>1319.7604166666667</v>
      </c>
      <c r="S547" s="2">
        <f>Employee_Data[[#This Row],[Annual Salary]]/12</f>
        <v>10558.083333333334</v>
      </c>
    </row>
    <row r="548" spans="1:19" x14ac:dyDescent="0.3">
      <c r="A548" t="s">
        <v>1174</v>
      </c>
      <c r="B548" t="s">
        <v>1175</v>
      </c>
      <c r="C548" t="s">
        <v>65</v>
      </c>
      <c r="D548" t="s">
        <v>4</v>
      </c>
      <c r="E548" t="s">
        <v>56</v>
      </c>
      <c r="F548" t="s">
        <v>42</v>
      </c>
      <c r="G548" t="s">
        <v>43</v>
      </c>
      <c r="H548">
        <v>63</v>
      </c>
      <c r="I548" s="1">
        <v>39587</v>
      </c>
      <c r="J548" s="2">
        <v>75396</v>
      </c>
      <c r="K548" s="3">
        <v>0</v>
      </c>
      <c r="L548" t="s">
        <v>137</v>
      </c>
      <c r="M548" t="s">
        <v>138</v>
      </c>
      <c r="N548" s="2">
        <f>Employee_Data[[#This Row],[Basic Salary]]*10%</f>
        <v>628.30000000000007</v>
      </c>
      <c r="O548" s="4">
        <f>Employee_Data[[#This Row],[Basic Salary]]*7.5%</f>
        <v>471.22499999999997</v>
      </c>
      <c r="P548" s="2">
        <f>Employee_Data[[#This Row],[Basic Salary]]*3%</f>
        <v>188.48999999999998</v>
      </c>
      <c r="Q548" s="2">
        <f>SUM(Employee_Data[[#This Row],[Basic Salary]],Employee_Data[[#This Row],[HRA]],Employee_Data[[#This Row],[MA]],Employee_Data[[#This Row],[TA]])</f>
        <v>7571.0150000000003</v>
      </c>
      <c r="R548" s="4">
        <f>Employee_Data[[#This Row],[Basic Salary]]*12.5%</f>
        <v>785.375</v>
      </c>
      <c r="S548" s="2">
        <f>Employee_Data[[#This Row],[Annual Salary]]/12</f>
        <v>6283</v>
      </c>
    </row>
    <row r="549" spans="1:19" x14ac:dyDescent="0.3">
      <c r="A549" t="s">
        <v>1176</v>
      </c>
      <c r="B549" t="s">
        <v>1177</v>
      </c>
      <c r="C549" t="s">
        <v>47</v>
      </c>
      <c r="D549" t="s">
        <v>126</v>
      </c>
      <c r="E549" t="s">
        <v>31</v>
      </c>
      <c r="F549" t="s">
        <v>42</v>
      </c>
      <c r="G549" t="s">
        <v>43</v>
      </c>
      <c r="H549">
        <v>39</v>
      </c>
      <c r="I549" s="1">
        <v>41906</v>
      </c>
      <c r="J549" s="2">
        <v>182595</v>
      </c>
      <c r="K549" s="3">
        <v>0.28999999999999998</v>
      </c>
      <c r="L549" t="s">
        <v>137</v>
      </c>
      <c r="M549" t="s">
        <v>138</v>
      </c>
      <c r="N549" s="2">
        <f>Employee_Data[[#This Row],[Basic Salary]]*10%</f>
        <v>1521.625</v>
      </c>
      <c r="O549" s="4">
        <f>Employee_Data[[#This Row],[Basic Salary]]*7.5%</f>
        <v>1141.21875</v>
      </c>
      <c r="P549" s="2">
        <f>Employee_Data[[#This Row],[Basic Salary]]*3%</f>
        <v>456.48750000000001</v>
      </c>
      <c r="Q549" s="2">
        <f>SUM(Employee_Data[[#This Row],[Basic Salary]],Employee_Data[[#This Row],[HRA]],Employee_Data[[#This Row],[MA]],Employee_Data[[#This Row],[TA]])</f>
        <v>18335.581249999999</v>
      </c>
      <c r="R549" s="4">
        <f>Employee_Data[[#This Row],[Basic Salary]]*12.5%</f>
        <v>1902.03125</v>
      </c>
      <c r="S549" s="2">
        <f>Employee_Data[[#This Row],[Annual Salary]]/12</f>
        <v>15216.25</v>
      </c>
    </row>
    <row r="550" spans="1:19" x14ac:dyDescent="0.3">
      <c r="A550" t="s">
        <v>1178</v>
      </c>
      <c r="B550" t="s">
        <v>1179</v>
      </c>
      <c r="C550" t="s">
        <v>29</v>
      </c>
      <c r="D550" t="s">
        <v>61</v>
      </c>
      <c r="E550" t="s">
        <v>31</v>
      </c>
      <c r="F550" t="s">
        <v>23</v>
      </c>
      <c r="G550" t="s">
        <v>24</v>
      </c>
      <c r="H550">
        <v>32</v>
      </c>
      <c r="I550" s="1">
        <v>42033</v>
      </c>
      <c r="J550" s="2">
        <v>45424</v>
      </c>
      <c r="K550" s="3">
        <v>0</v>
      </c>
      <c r="L550" t="s">
        <v>25</v>
      </c>
      <c r="M550" t="s">
        <v>48</v>
      </c>
      <c r="N550" s="2">
        <f>Employee_Data[[#This Row],[Basic Salary]]*10%</f>
        <v>378.53333333333336</v>
      </c>
      <c r="O550" s="4">
        <f>Employee_Data[[#This Row],[Basic Salary]]*7.5%</f>
        <v>283.89999999999998</v>
      </c>
      <c r="P550" s="2">
        <f>Employee_Data[[#This Row],[Basic Salary]]*3%</f>
        <v>113.56</v>
      </c>
      <c r="Q550" s="2">
        <f>SUM(Employee_Data[[#This Row],[Basic Salary]],Employee_Data[[#This Row],[HRA]],Employee_Data[[#This Row],[MA]],Employee_Data[[#This Row],[TA]])</f>
        <v>4561.3266666666668</v>
      </c>
      <c r="R550" s="4">
        <f>Employee_Data[[#This Row],[Basic Salary]]*12.5%</f>
        <v>473.16666666666669</v>
      </c>
      <c r="S550" s="2">
        <f>Employee_Data[[#This Row],[Annual Salary]]/12</f>
        <v>3785.3333333333335</v>
      </c>
    </row>
    <row r="551" spans="1:19" x14ac:dyDescent="0.3">
      <c r="A551" t="s">
        <v>1180</v>
      </c>
      <c r="B551" t="s">
        <v>1181</v>
      </c>
      <c r="C551" t="s">
        <v>60</v>
      </c>
      <c r="D551" t="s">
        <v>61</v>
      </c>
      <c r="E551" t="s">
        <v>22</v>
      </c>
      <c r="F551" t="s">
        <v>23</v>
      </c>
      <c r="G551" t="s">
        <v>24</v>
      </c>
      <c r="H551">
        <v>45</v>
      </c>
      <c r="I551" s="1">
        <v>41246</v>
      </c>
      <c r="J551" s="2">
        <v>70661</v>
      </c>
      <c r="K551" s="3">
        <v>0</v>
      </c>
      <c r="L551" t="s">
        <v>37</v>
      </c>
      <c r="M551" t="s">
        <v>57</v>
      </c>
      <c r="N551" s="2">
        <f>Employee_Data[[#This Row],[Basic Salary]]*10%</f>
        <v>588.8416666666667</v>
      </c>
      <c r="O551" s="4">
        <f>Employee_Data[[#This Row],[Basic Salary]]*7.5%</f>
        <v>441.63125000000002</v>
      </c>
      <c r="P551" s="2">
        <f>Employee_Data[[#This Row],[Basic Salary]]*3%</f>
        <v>176.6525</v>
      </c>
      <c r="Q551" s="2">
        <f>SUM(Employee_Data[[#This Row],[Basic Salary]],Employee_Data[[#This Row],[HRA]],Employee_Data[[#This Row],[MA]],Employee_Data[[#This Row],[TA]])</f>
        <v>7095.5420833333337</v>
      </c>
      <c r="R551" s="4">
        <f>Employee_Data[[#This Row],[Basic Salary]]*12.5%</f>
        <v>736.05208333333337</v>
      </c>
      <c r="S551" s="2">
        <f>Employee_Data[[#This Row],[Annual Salary]]/12</f>
        <v>5888.416666666667</v>
      </c>
    </row>
    <row r="552" spans="1:19" x14ac:dyDescent="0.3">
      <c r="A552" t="s">
        <v>1182</v>
      </c>
      <c r="B552" t="s">
        <v>1183</v>
      </c>
      <c r="C552" t="s">
        <v>159</v>
      </c>
      <c r="D552" t="s">
        <v>4</v>
      </c>
      <c r="E552" t="s">
        <v>36</v>
      </c>
      <c r="F552" t="s">
        <v>23</v>
      </c>
      <c r="G552" t="s">
        <v>24</v>
      </c>
      <c r="H552">
        <v>41</v>
      </c>
      <c r="I552" s="1">
        <v>43420</v>
      </c>
      <c r="J552" s="2">
        <v>57166</v>
      </c>
      <c r="K552" s="3">
        <v>0</v>
      </c>
      <c r="L552" t="s">
        <v>37</v>
      </c>
      <c r="M552" t="s">
        <v>38</v>
      </c>
      <c r="N552" s="2">
        <f>Employee_Data[[#This Row],[Basic Salary]]*10%</f>
        <v>476.38333333333333</v>
      </c>
      <c r="O552" s="4">
        <f>Employee_Data[[#This Row],[Basic Salary]]*7.5%</f>
        <v>357.28749999999997</v>
      </c>
      <c r="P552" s="2">
        <f>Employee_Data[[#This Row],[Basic Salary]]*3%</f>
        <v>142.91499999999999</v>
      </c>
      <c r="Q552" s="2">
        <f>SUM(Employee_Data[[#This Row],[Basic Salary]],Employee_Data[[#This Row],[HRA]],Employee_Data[[#This Row],[MA]],Employee_Data[[#This Row],[TA]])</f>
        <v>5740.4191666666666</v>
      </c>
      <c r="R552" s="4">
        <f>Employee_Data[[#This Row],[Basic Salary]]*12.5%</f>
        <v>595.47916666666663</v>
      </c>
      <c r="S552" s="2">
        <f>Employee_Data[[#This Row],[Annual Salary]]/12</f>
        <v>4763.833333333333</v>
      </c>
    </row>
    <row r="553" spans="1:19" x14ac:dyDescent="0.3">
      <c r="A553" t="s">
        <v>1184</v>
      </c>
      <c r="B553" t="s">
        <v>1185</v>
      </c>
      <c r="C553" t="s">
        <v>436</v>
      </c>
      <c r="D553" t="s">
        <v>21</v>
      </c>
      <c r="E553" t="s">
        <v>31</v>
      </c>
      <c r="F553" t="s">
        <v>42</v>
      </c>
      <c r="G553" t="s">
        <v>66</v>
      </c>
      <c r="H553">
        <v>56</v>
      </c>
      <c r="I553" s="1">
        <v>42781</v>
      </c>
      <c r="J553" s="2">
        <v>101637</v>
      </c>
      <c r="K553" s="3">
        <v>0</v>
      </c>
      <c r="L553" t="s">
        <v>25</v>
      </c>
      <c r="M553" t="s">
        <v>32</v>
      </c>
      <c r="N553" s="2">
        <f>Employee_Data[[#This Row],[Basic Salary]]*10%</f>
        <v>846.97500000000002</v>
      </c>
      <c r="O553" s="4">
        <f>Employee_Data[[#This Row],[Basic Salary]]*7.5%</f>
        <v>635.23124999999993</v>
      </c>
      <c r="P553" s="2">
        <f>Employee_Data[[#This Row],[Basic Salary]]*3%</f>
        <v>254.0925</v>
      </c>
      <c r="Q553" s="2">
        <f>SUM(Employee_Data[[#This Row],[Basic Salary]],Employee_Data[[#This Row],[HRA]],Employee_Data[[#This Row],[MA]],Employee_Data[[#This Row],[TA]])</f>
        <v>10206.048750000002</v>
      </c>
      <c r="R553" s="4">
        <f>Employee_Data[[#This Row],[Basic Salary]]*12.5%</f>
        <v>1058.71875</v>
      </c>
      <c r="S553" s="2">
        <f>Employee_Data[[#This Row],[Annual Salary]]/12</f>
        <v>8469.75</v>
      </c>
    </row>
    <row r="554" spans="1:19" x14ac:dyDescent="0.3">
      <c r="A554" t="s">
        <v>1186</v>
      </c>
      <c r="B554" t="s">
        <v>1187</v>
      </c>
      <c r="C554" t="s">
        <v>69</v>
      </c>
      <c r="D554" t="s">
        <v>80</v>
      </c>
      <c r="E554" t="s">
        <v>56</v>
      </c>
      <c r="F554" t="s">
        <v>42</v>
      </c>
      <c r="G554" t="s">
        <v>43</v>
      </c>
      <c r="H554">
        <v>30</v>
      </c>
      <c r="I554" s="1">
        <v>43097</v>
      </c>
      <c r="J554" s="2">
        <v>103646</v>
      </c>
      <c r="K554" s="3">
        <v>7.0000000000000007E-2</v>
      </c>
      <c r="L554" t="s">
        <v>25</v>
      </c>
      <c r="M554" t="s">
        <v>51</v>
      </c>
      <c r="N554" s="2">
        <f>Employee_Data[[#This Row],[Basic Salary]]*10%</f>
        <v>863.7166666666667</v>
      </c>
      <c r="O554" s="4">
        <f>Employee_Data[[#This Row],[Basic Salary]]*7.5%</f>
        <v>647.78749999999991</v>
      </c>
      <c r="P554" s="2">
        <f>Employee_Data[[#This Row],[Basic Salary]]*3%</f>
        <v>259.11499999999995</v>
      </c>
      <c r="Q554" s="2">
        <f>SUM(Employee_Data[[#This Row],[Basic Salary]],Employee_Data[[#This Row],[HRA]],Employee_Data[[#This Row],[MA]],Employee_Data[[#This Row],[TA]])</f>
        <v>10407.785833333333</v>
      </c>
      <c r="R554" s="4">
        <f>Employee_Data[[#This Row],[Basic Salary]]*12.5%</f>
        <v>1079.6458333333333</v>
      </c>
      <c r="S554" s="2">
        <f>Employee_Data[[#This Row],[Annual Salary]]/12</f>
        <v>8637.1666666666661</v>
      </c>
    </row>
    <row r="555" spans="1:19" x14ac:dyDescent="0.3">
      <c r="A555" t="s">
        <v>1188</v>
      </c>
      <c r="B555" t="s">
        <v>1189</v>
      </c>
      <c r="C555" t="s">
        <v>198</v>
      </c>
      <c r="D555" t="s">
        <v>21</v>
      </c>
      <c r="E555" t="s">
        <v>22</v>
      </c>
      <c r="F555" t="s">
        <v>23</v>
      </c>
      <c r="G555" t="s">
        <v>66</v>
      </c>
      <c r="H555">
        <v>46</v>
      </c>
      <c r="I555" s="1">
        <v>40230</v>
      </c>
      <c r="J555" s="2">
        <v>100757</v>
      </c>
      <c r="K555" s="3">
        <v>0</v>
      </c>
      <c r="L555" t="s">
        <v>25</v>
      </c>
      <c r="M555" t="s">
        <v>32</v>
      </c>
      <c r="N555" s="2">
        <f>Employee_Data[[#This Row],[Basic Salary]]*10%</f>
        <v>839.64166666666665</v>
      </c>
      <c r="O555" s="4">
        <f>Employee_Data[[#This Row],[Basic Salary]]*7.5%</f>
        <v>629.73124999999993</v>
      </c>
      <c r="P555" s="2">
        <f>Employee_Data[[#This Row],[Basic Salary]]*3%</f>
        <v>251.89249999999998</v>
      </c>
      <c r="Q555" s="2">
        <f>SUM(Employee_Data[[#This Row],[Basic Salary]],Employee_Data[[#This Row],[HRA]],Employee_Data[[#This Row],[MA]],Employee_Data[[#This Row],[TA]])</f>
        <v>10117.682083333333</v>
      </c>
      <c r="R555" s="4">
        <f>Employee_Data[[#This Row],[Basic Salary]]*12.5%</f>
        <v>1049.5520833333333</v>
      </c>
      <c r="S555" s="2">
        <f>Employee_Data[[#This Row],[Annual Salary]]/12</f>
        <v>8396.4166666666661</v>
      </c>
    </row>
    <row r="556" spans="1:19" x14ac:dyDescent="0.3">
      <c r="A556" t="s">
        <v>1190</v>
      </c>
      <c r="B556" t="s">
        <v>1191</v>
      </c>
      <c r="C556" t="s">
        <v>35</v>
      </c>
      <c r="D556" t="s">
        <v>4</v>
      </c>
      <c r="E556" t="s">
        <v>56</v>
      </c>
      <c r="F556" t="s">
        <v>23</v>
      </c>
      <c r="G556" t="s">
        <v>66</v>
      </c>
      <c r="H556">
        <v>47</v>
      </c>
      <c r="I556" s="1">
        <v>39725</v>
      </c>
      <c r="J556" s="2">
        <v>60963</v>
      </c>
      <c r="K556" s="3">
        <v>0</v>
      </c>
      <c r="L556" t="s">
        <v>25</v>
      </c>
      <c r="M556" t="s">
        <v>44</v>
      </c>
      <c r="N556" s="2">
        <f>Employee_Data[[#This Row],[Basic Salary]]*10%</f>
        <v>508.02500000000003</v>
      </c>
      <c r="O556" s="4">
        <f>Employee_Data[[#This Row],[Basic Salary]]*7.5%</f>
        <v>381.01875000000001</v>
      </c>
      <c r="P556" s="2">
        <f>Employee_Data[[#This Row],[Basic Salary]]*3%</f>
        <v>152.4075</v>
      </c>
      <c r="Q556" s="2">
        <f>SUM(Employee_Data[[#This Row],[Basic Salary]],Employee_Data[[#This Row],[HRA]],Employee_Data[[#This Row],[MA]],Employee_Data[[#This Row],[TA]])</f>
        <v>6121.7012500000001</v>
      </c>
      <c r="R556" s="4">
        <f>Employee_Data[[#This Row],[Basic Salary]]*12.5%</f>
        <v>635.03125</v>
      </c>
      <c r="S556" s="2">
        <f>Employee_Data[[#This Row],[Annual Salary]]/12</f>
        <v>5080.25</v>
      </c>
    </row>
    <row r="557" spans="1:19" x14ac:dyDescent="0.3">
      <c r="A557" t="s">
        <v>1192</v>
      </c>
      <c r="B557" t="s">
        <v>1193</v>
      </c>
      <c r="C557" t="s">
        <v>89</v>
      </c>
      <c r="D557" t="s">
        <v>21</v>
      </c>
      <c r="E557" t="s">
        <v>22</v>
      </c>
      <c r="F557" t="s">
        <v>23</v>
      </c>
      <c r="G557" t="s">
        <v>66</v>
      </c>
      <c r="H557">
        <v>53</v>
      </c>
      <c r="I557" s="1">
        <v>40781</v>
      </c>
      <c r="J557" s="2">
        <v>258734</v>
      </c>
      <c r="K557" s="3">
        <v>0.34</v>
      </c>
      <c r="L557" t="s">
        <v>25</v>
      </c>
      <c r="M557" t="s">
        <v>44</v>
      </c>
      <c r="N557" s="2">
        <f>Employee_Data[[#This Row],[Basic Salary]]*10%</f>
        <v>2156.1166666666668</v>
      </c>
      <c r="O557" s="4">
        <f>Employee_Data[[#This Row],[Basic Salary]]*7.5%</f>
        <v>1617.0875000000001</v>
      </c>
      <c r="P557" s="2">
        <f>Employee_Data[[#This Row],[Basic Salary]]*3%</f>
        <v>646.83500000000004</v>
      </c>
      <c r="Q557" s="2">
        <f>SUM(Employee_Data[[#This Row],[Basic Salary]],Employee_Data[[#This Row],[HRA]],Employee_Data[[#This Row],[MA]],Employee_Data[[#This Row],[TA]])</f>
        <v>25981.205833333333</v>
      </c>
      <c r="R557" s="4">
        <f>Employee_Data[[#This Row],[Basic Salary]]*12.5%</f>
        <v>2695.1458333333335</v>
      </c>
      <c r="S557" s="2">
        <f>Employee_Data[[#This Row],[Annual Salary]]/12</f>
        <v>21561.166666666668</v>
      </c>
    </row>
    <row r="558" spans="1:19" x14ac:dyDescent="0.3">
      <c r="A558" t="s">
        <v>1194</v>
      </c>
      <c r="B558" t="s">
        <v>1195</v>
      </c>
      <c r="C558" t="s">
        <v>164</v>
      </c>
      <c r="D558" t="s">
        <v>4</v>
      </c>
      <c r="E558" t="s">
        <v>56</v>
      </c>
      <c r="F558" t="s">
        <v>23</v>
      </c>
      <c r="G558" t="s">
        <v>24</v>
      </c>
      <c r="H558">
        <v>38</v>
      </c>
      <c r="I558" s="1">
        <v>44462</v>
      </c>
      <c r="J558" s="2">
        <v>70612</v>
      </c>
      <c r="K558" s="3">
        <v>0</v>
      </c>
      <c r="L558" t="s">
        <v>37</v>
      </c>
      <c r="M558" t="s">
        <v>57</v>
      </c>
      <c r="N558" s="2">
        <f>Employee_Data[[#This Row],[Basic Salary]]*10%</f>
        <v>588.43333333333328</v>
      </c>
      <c r="O558" s="4">
        <f>Employee_Data[[#This Row],[Basic Salary]]*7.5%</f>
        <v>441.32499999999999</v>
      </c>
      <c r="P558" s="2">
        <f>Employee_Data[[#This Row],[Basic Salary]]*3%</f>
        <v>176.52999999999997</v>
      </c>
      <c r="Q558" s="2">
        <f>SUM(Employee_Data[[#This Row],[Basic Salary]],Employee_Data[[#This Row],[HRA]],Employee_Data[[#This Row],[MA]],Employee_Data[[#This Row],[TA]])</f>
        <v>7090.621666666666</v>
      </c>
      <c r="R558" s="4">
        <f>Employee_Data[[#This Row],[Basic Salary]]*12.5%</f>
        <v>735.54166666666663</v>
      </c>
      <c r="S558" s="2">
        <f>Employee_Data[[#This Row],[Annual Salary]]/12</f>
        <v>5884.333333333333</v>
      </c>
    </row>
    <row r="559" spans="1:19" x14ac:dyDescent="0.3">
      <c r="A559" t="s">
        <v>1196</v>
      </c>
      <c r="B559" t="s">
        <v>1197</v>
      </c>
      <c r="C559" t="s">
        <v>94</v>
      </c>
      <c r="D559" t="s">
        <v>4</v>
      </c>
      <c r="E559" t="s">
        <v>36</v>
      </c>
      <c r="F559" t="s">
        <v>23</v>
      </c>
      <c r="G559" t="s">
        <v>24</v>
      </c>
      <c r="H559">
        <v>65</v>
      </c>
      <c r="I559" s="1">
        <v>34147</v>
      </c>
      <c r="J559" s="2">
        <v>77065</v>
      </c>
      <c r="K559" s="3">
        <v>0</v>
      </c>
      <c r="L559" t="s">
        <v>25</v>
      </c>
      <c r="M559" t="s">
        <v>44</v>
      </c>
      <c r="N559" s="2">
        <f>Employee_Data[[#This Row],[Basic Salary]]*10%</f>
        <v>642.20833333333337</v>
      </c>
      <c r="O559" s="4">
        <f>Employee_Data[[#This Row],[Basic Salary]]*7.5%</f>
        <v>481.65624999999994</v>
      </c>
      <c r="P559" s="2">
        <f>Employee_Data[[#This Row],[Basic Salary]]*3%</f>
        <v>192.66249999999999</v>
      </c>
      <c r="Q559" s="2">
        <f>SUM(Employee_Data[[#This Row],[Basic Salary]],Employee_Data[[#This Row],[HRA]],Employee_Data[[#This Row],[MA]],Employee_Data[[#This Row],[TA]])</f>
        <v>7738.6104166666664</v>
      </c>
      <c r="R559" s="4">
        <f>Employee_Data[[#This Row],[Basic Salary]]*12.5%</f>
        <v>802.76041666666663</v>
      </c>
      <c r="S559" s="2">
        <f>Employee_Data[[#This Row],[Annual Salary]]/12</f>
        <v>6422.083333333333</v>
      </c>
    </row>
    <row r="560" spans="1:19" x14ac:dyDescent="0.3">
      <c r="A560" t="s">
        <v>1198</v>
      </c>
      <c r="B560" t="s">
        <v>1199</v>
      </c>
      <c r="C560" t="s">
        <v>408</v>
      </c>
      <c r="D560" t="s">
        <v>21</v>
      </c>
      <c r="E560" t="s">
        <v>56</v>
      </c>
      <c r="F560" t="s">
        <v>42</v>
      </c>
      <c r="G560" t="s">
        <v>43</v>
      </c>
      <c r="H560">
        <v>58</v>
      </c>
      <c r="I560" s="1">
        <v>39386</v>
      </c>
      <c r="J560" s="2">
        <v>96256</v>
      </c>
      <c r="K560" s="3">
        <v>0</v>
      </c>
      <c r="L560" t="s">
        <v>25</v>
      </c>
      <c r="M560" t="s">
        <v>32</v>
      </c>
      <c r="N560" s="2">
        <f>Employee_Data[[#This Row],[Basic Salary]]*10%</f>
        <v>802.13333333333333</v>
      </c>
      <c r="O560" s="4">
        <f>Employee_Data[[#This Row],[Basic Salary]]*7.5%</f>
        <v>601.59999999999991</v>
      </c>
      <c r="P560" s="2">
        <f>Employee_Data[[#This Row],[Basic Salary]]*3%</f>
        <v>240.64</v>
      </c>
      <c r="Q560" s="2">
        <f>SUM(Employee_Data[[#This Row],[Basic Salary]],Employee_Data[[#This Row],[HRA]],Employee_Data[[#This Row],[MA]],Employee_Data[[#This Row],[TA]])</f>
        <v>9665.7066666666669</v>
      </c>
      <c r="R560" s="4">
        <f>Employee_Data[[#This Row],[Basic Salary]]*12.5%</f>
        <v>1002.6666666666666</v>
      </c>
      <c r="S560" s="2">
        <f>Employee_Data[[#This Row],[Annual Salary]]/12</f>
        <v>8021.333333333333</v>
      </c>
    </row>
    <row r="561" spans="1:19" x14ac:dyDescent="0.3">
      <c r="A561" t="s">
        <v>1200</v>
      </c>
      <c r="B561" t="s">
        <v>1201</v>
      </c>
      <c r="C561" t="s">
        <v>60</v>
      </c>
      <c r="D561" t="s">
        <v>55</v>
      </c>
      <c r="E561" t="s">
        <v>22</v>
      </c>
      <c r="F561" t="s">
        <v>42</v>
      </c>
      <c r="G561" t="s">
        <v>24</v>
      </c>
      <c r="H561">
        <v>36</v>
      </c>
      <c r="I561" s="1">
        <v>40676</v>
      </c>
      <c r="J561" s="2">
        <v>65794</v>
      </c>
      <c r="K561" s="3">
        <v>0</v>
      </c>
      <c r="L561" t="s">
        <v>25</v>
      </c>
      <c r="M561" t="s">
        <v>48</v>
      </c>
      <c r="N561" s="2">
        <f>Employee_Data[[#This Row],[Basic Salary]]*10%</f>
        <v>548.2833333333333</v>
      </c>
      <c r="O561" s="4">
        <f>Employee_Data[[#This Row],[Basic Salary]]*7.5%</f>
        <v>411.21249999999998</v>
      </c>
      <c r="P561" s="2">
        <f>Employee_Data[[#This Row],[Basic Salary]]*3%</f>
        <v>164.48499999999999</v>
      </c>
      <c r="Q561" s="2">
        <f>SUM(Employee_Data[[#This Row],[Basic Salary]],Employee_Data[[#This Row],[HRA]],Employee_Data[[#This Row],[MA]],Employee_Data[[#This Row],[TA]])</f>
        <v>6606.8141666666661</v>
      </c>
      <c r="R561" s="4">
        <f>Employee_Data[[#This Row],[Basic Salary]]*12.5%</f>
        <v>685.35416666666663</v>
      </c>
      <c r="S561" s="2">
        <f>Employee_Data[[#This Row],[Annual Salary]]/12</f>
        <v>5482.833333333333</v>
      </c>
    </row>
    <row r="562" spans="1:19" x14ac:dyDescent="0.3">
      <c r="A562" t="s">
        <v>1202</v>
      </c>
      <c r="B562" t="s">
        <v>1203</v>
      </c>
      <c r="C562" t="s">
        <v>29</v>
      </c>
      <c r="D562" t="s">
        <v>55</v>
      </c>
      <c r="E562" t="s">
        <v>36</v>
      </c>
      <c r="F562" t="s">
        <v>42</v>
      </c>
      <c r="G562" t="s">
        <v>24</v>
      </c>
      <c r="H562">
        <v>45</v>
      </c>
      <c r="I562" s="1">
        <v>42239</v>
      </c>
      <c r="J562" s="2">
        <v>48491</v>
      </c>
      <c r="K562" s="3">
        <v>0</v>
      </c>
      <c r="L562" t="s">
        <v>25</v>
      </c>
      <c r="M562" t="s">
        <v>48</v>
      </c>
      <c r="N562" s="2">
        <f>Employee_Data[[#This Row],[Basic Salary]]*10%</f>
        <v>404.0916666666667</v>
      </c>
      <c r="O562" s="4">
        <f>Employee_Data[[#This Row],[Basic Salary]]*7.5%</f>
        <v>303.06874999999997</v>
      </c>
      <c r="P562" s="2">
        <f>Employee_Data[[#This Row],[Basic Salary]]*3%</f>
        <v>121.22749999999999</v>
      </c>
      <c r="Q562" s="2">
        <f>SUM(Employee_Data[[#This Row],[Basic Salary]],Employee_Data[[#This Row],[HRA]],Employee_Data[[#This Row],[MA]],Employee_Data[[#This Row],[TA]])</f>
        <v>4869.3045833333335</v>
      </c>
      <c r="R562" s="4">
        <f>Employee_Data[[#This Row],[Basic Salary]]*12.5%</f>
        <v>505.11458333333331</v>
      </c>
      <c r="S562" s="2">
        <f>Employee_Data[[#This Row],[Annual Salary]]/12</f>
        <v>4040.9166666666665</v>
      </c>
    </row>
    <row r="563" spans="1:19" x14ac:dyDescent="0.3">
      <c r="A563" t="s">
        <v>1204</v>
      </c>
      <c r="B563" t="s">
        <v>1205</v>
      </c>
      <c r="C563" t="s">
        <v>436</v>
      </c>
      <c r="D563" t="s">
        <v>21</v>
      </c>
      <c r="E563" t="s">
        <v>36</v>
      </c>
      <c r="F563" t="s">
        <v>23</v>
      </c>
      <c r="G563" t="s">
        <v>43</v>
      </c>
      <c r="H563">
        <v>34</v>
      </c>
      <c r="I563" s="1">
        <v>43684</v>
      </c>
      <c r="J563" s="2">
        <v>83220</v>
      </c>
      <c r="K563" s="3">
        <v>0</v>
      </c>
      <c r="L563" t="s">
        <v>25</v>
      </c>
      <c r="M563" t="s">
        <v>32</v>
      </c>
      <c r="N563" s="2">
        <f>Employee_Data[[#This Row],[Basic Salary]]*10%</f>
        <v>693.5</v>
      </c>
      <c r="O563" s="4">
        <f>Employee_Data[[#This Row],[Basic Salary]]*7.5%</f>
        <v>520.125</v>
      </c>
      <c r="P563" s="2">
        <f>Employee_Data[[#This Row],[Basic Salary]]*3%</f>
        <v>208.04999999999998</v>
      </c>
      <c r="Q563" s="2">
        <f>SUM(Employee_Data[[#This Row],[Basic Salary]],Employee_Data[[#This Row],[HRA]],Employee_Data[[#This Row],[MA]],Employee_Data[[#This Row],[TA]])</f>
        <v>8356.6749999999993</v>
      </c>
      <c r="R563" s="4">
        <f>Employee_Data[[#This Row],[Basic Salary]]*12.5%</f>
        <v>866.875</v>
      </c>
      <c r="S563" s="2">
        <f>Employee_Data[[#This Row],[Annual Salary]]/12</f>
        <v>6935</v>
      </c>
    </row>
    <row r="564" spans="1:19" x14ac:dyDescent="0.3">
      <c r="A564" t="s">
        <v>1206</v>
      </c>
      <c r="B564" t="s">
        <v>1207</v>
      </c>
      <c r="C564" t="s">
        <v>247</v>
      </c>
      <c r="D564" t="s">
        <v>126</v>
      </c>
      <c r="E564" t="s">
        <v>36</v>
      </c>
      <c r="F564" t="s">
        <v>42</v>
      </c>
      <c r="G564" t="s">
        <v>24</v>
      </c>
      <c r="H564">
        <v>37</v>
      </c>
      <c r="I564" s="1">
        <v>40241</v>
      </c>
      <c r="J564" s="2">
        <v>61680</v>
      </c>
      <c r="K564" s="3">
        <v>0</v>
      </c>
      <c r="L564" t="s">
        <v>37</v>
      </c>
      <c r="M564" t="s">
        <v>111</v>
      </c>
      <c r="N564" s="2">
        <f>Employee_Data[[#This Row],[Basic Salary]]*10%</f>
        <v>514</v>
      </c>
      <c r="O564" s="4">
        <f>Employee_Data[[#This Row],[Basic Salary]]*7.5%</f>
        <v>385.5</v>
      </c>
      <c r="P564" s="2">
        <f>Employee_Data[[#This Row],[Basic Salary]]*3%</f>
        <v>154.19999999999999</v>
      </c>
      <c r="Q564" s="2">
        <f>SUM(Employee_Data[[#This Row],[Basic Salary]],Employee_Data[[#This Row],[HRA]],Employee_Data[[#This Row],[MA]],Employee_Data[[#This Row],[TA]])</f>
        <v>6193.7</v>
      </c>
      <c r="R564" s="4">
        <f>Employee_Data[[#This Row],[Basic Salary]]*12.5%</f>
        <v>642.5</v>
      </c>
      <c r="S564" s="2">
        <f>Employee_Data[[#This Row],[Annual Salary]]/12</f>
        <v>5140</v>
      </c>
    </row>
    <row r="565" spans="1:19" x14ac:dyDescent="0.3">
      <c r="A565" t="s">
        <v>1208</v>
      </c>
      <c r="B565" t="s">
        <v>1209</v>
      </c>
      <c r="C565" t="s">
        <v>54</v>
      </c>
      <c r="D565" t="s">
        <v>30</v>
      </c>
      <c r="E565" t="s">
        <v>22</v>
      </c>
      <c r="F565" t="s">
        <v>23</v>
      </c>
      <c r="G565" t="s">
        <v>24</v>
      </c>
      <c r="H565">
        <v>43</v>
      </c>
      <c r="I565" s="1">
        <v>44478</v>
      </c>
      <c r="J565" s="2">
        <v>72482</v>
      </c>
      <c r="K565" s="3">
        <v>0</v>
      </c>
      <c r="L565" t="s">
        <v>25</v>
      </c>
      <c r="M565" t="s">
        <v>32</v>
      </c>
      <c r="N565" s="2">
        <f>Employee_Data[[#This Row],[Basic Salary]]*10%</f>
        <v>604.01666666666677</v>
      </c>
      <c r="O565" s="4">
        <f>Employee_Data[[#This Row],[Basic Salary]]*7.5%</f>
        <v>453.01249999999999</v>
      </c>
      <c r="P565" s="2">
        <f>Employee_Data[[#This Row],[Basic Salary]]*3%</f>
        <v>181.20500000000001</v>
      </c>
      <c r="Q565" s="2">
        <f>SUM(Employee_Data[[#This Row],[Basic Salary]],Employee_Data[[#This Row],[HRA]],Employee_Data[[#This Row],[MA]],Employee_Data[[#This Row],[TA]])</f>
        <v>7278.4008333333331</v>
      </c>
      <c r="R565" s="4">
        <f>Employee_Data[[#This Row],[Basic Salary]]*12.5%</f>
        <v>755.02083333333337</v>
      </c>
      <c r="S565" s="2">
        <f>Employee_Data[[#This Row],[Annual Salary]]/12</f>
        <v>6040.166666666667</v>
      </c>
    </row>
    <row r="566" spans="1:19" x14ac:dyDescent="0.3">
      <c r="A566" t="s">
        <v>1210</v>
      </c>
      <c r="B566" t="s">
        <v>1211</v>
      </c>
      <c r="C566" t="s">
        <v>408</v>
      </c>
      <c r="D566" t="s">
        <v>21</v>
      </c>
      <c r="E566" t="s">
        <v>36</v>
      </c>
      <c r="F566" t="s">
        <v>23</v>
      </c>
      <c r="G566" t="s">
        <v>43</v>
      </c>
      <c r="H566">
        <v>27</v>
      </c>
      <c r="I566" s="1">
        <v>44599</v>
      </c>
      <c r="J566" s="2">
        <v>81713</v>
      </c>
      <c r="K566" s="3">
        <v>0</v>
      </c>
      <c r="L566" t="s">
        <v>137</v>
      </c>
      <c r="M566" t="s">
        <v>138</v>
      </c>
      <c r="N566" s="2">
        <f>Employee_Data[[#This Row],[Basic Salary]]*10%</f>
        <v>680.94166666666672</v>
      </c>
      <c r="O566" s="4">
        <f>Employee_Data[[#This Row],[Basic Salary]]*7.5%</f>
        <v>510.70625000000001</v>
      </c>
      <c r="P566" s="2">
        <f>Employee_Data[[#This Row],[Basic Salary]]*3%</f>
        <v>204.2825</v>
      </c>
      <c r="Q566" s="2">
        <f>SUM(Employee_Data[[#This Row],[Basic Salary]],Employee_Data[[#This Row],[HRA]],Employee_Data[[#This Row],[MA]],Employee_Data[[#This Row],[TA]])</f>
        <v>8205.347083333334</v>
      </c>
      <c r="R566" s="4">
        <f>Employee_Data[[#This Row],[Basic Salary]]*12.5%</f>
        <v>851.17708333333337</v>
      </c>
      <c r="S566" s="2">
        <f>Employee_Data[[#This Row],[Annual Salary]]/12</f>
        <v>6809.416666666667</v>
      </c>
    </row>
    <row r="567" spans="1:19" x14ac:dyDescent="0.3">
      <c r="A567" t="s">
        <v>1212</v>
      </c>
      <c r="B567" t="s">
        <v>1213</v>
      </c>
      <c r="C567" t="s">
        <v>60</v>
      </c>
      <c r="D567" t="s">
        <v>30</v>
      </c>
      <c r="E567" t="s">
        <v>22</v>
      </c>
      <c r="F567" t="s">
        <v>23</v>
      </c>
      <c r="G567" t="s">
        <v>43</v>
      </c>
      <c r="H567">
        <v>38</v>
      </c>
      <c r="I567" s="1">
        <v>44534</v>
      </c>
      <c r="J567" s="2">
        <v>68281</v>
      </c>
      <c r="K567" s="3">
        <v>0</v>
      </c>
      <c r="L567" t="s">
        <v>25</v>
      </c>
      <c r="M567" t="s">
        <v>70</v>
      </c>
      <c r="N567" s="2">
        <f>Employee_Data[[#This Row],[Basic Salary]]*10%</f>
        <v>569.00833333333333</v>
      </c>
      <c r="O567" s="4">
        <f>Employee_Data[[#This Row],[Basic Salary]]*7.5%</f>
        <v>426.75624999999997</v>
      </c>
      <c r="P567" s="2">
        <f>Employee_Data[[#This Row],[Basic Salary]]*3%</f>
        <v>170.70249999999999</v>
      </c>
      <c r="Q567" s="2">
        <f>SUM(Employee_Data[[#This Row],[Basic Salary]],Employee_Data[[#This Row],[HRA]],Employee_Data[[#This Row],[MA]],Employee_Data[[#This Row],[TA]])</f>
        <v>6856.5504166666669</v>
      </c>
      <c r="R567" s="4">
        <f>Employee_Data[[#This Row],[Basic Salary]]*12.5%</f>
        <v>711.26041666666663</v>
      </c>
      <c r="S567" s="2">
        <f>Employee_Data[[#This Row],[Annual Salary]]/12</f>
        <v>5690.083333333333</v>
      </c>
    </row>
    <row r="568" spans="1:19" x14ac:dyDescent="0.3">
      <c r="A568" t="s">
        <v>1214</v>
      </c>
      <c r="B568" t="s">
        <v>1215</v>
      </c>
      <c r="C568" t="s">
        <v>164</v>
      </c>
      <c r="D568" t="s">
        <v>4</v>
      </c>
      <c r="E568" t="s">
        <v>31</v>
      </c>
      <c r="F568" t="s">
        <v>42</v>
      </c>
      <c r="G568" t="s">
        <v>66</v>
      </c>
      <c r="H568">
        <v>60</v>
      </c>
      <c r="I568" s="1">
        <v>34222</v>
      </c>
      <c r="J568" s="2">
        <v>63979</v>
      </c>
      <c r="K568" s="3">
        <v>0</v>
      </c>
      <c r="L568" t="s">
        <v>25</v>
      </c>
      <c r="M568" t="s">
        <v>70</v>
      </c>
      <c r="N568" s="2">
        <f>Employee_Data[[#This Row],[Basic Salary]]*10%</f>
        <v>533.1583333333333</v>
      </c>
      <c r="O568" s="4">
        <f>Employee_Data[[#This Row],[Basic Salary]]*7.5%</f>
        <v>399.86874999999998</v>
      </c>
      <c r="P568" s="2">
        <f>Employee_Data[[#This Row],[Basic Salary]]*3%</f>
        <v>159.94749999999999</v>
      </c>
      <c r="Q568" s="2">
        <f>SUM(Employee_Data[[#This Row],[Basic Salary]],Employee_Data[[#This Row],[HRA]],Employee_Data[[#This Row],[MA]],Employee_Data[[#This Row],[TA]])</f>
        <v>6424.5579166666666</v>
      </c>
      <c r="R568" s="4">
        <f>Employee_Data[[#This Row],[Basic Salary]]*12.5%</f>
        <v>666.44791666666663</v>
      </c>
      <c r="S568" s="2">
        <f>Employee_Data[[#This Row],[Annual Salary]]/12</f>
        <v>5331.583333333333</v>
      </c>
    </row>
    <row r="569" spans="1:19" x14ac:dyDescent="0.3">
      <c r="A569" t="s">
        <v>1216</v>
      </c>
      <c r="B569" t="s">
        <v>1217</v>
      </c>
      <c r="C569" t="s">
        <v>131</v>
      </c>
      <c r="D569" t="s">
        <v>126</v>
      </c>
      <c r="E569" t="s">
        <v>31</v>
      </c>
      <c r="F569" t="s">
        <v>23</v>
      </c>
      <c r="G569" t="s">
        <v>24</v>
      </c>
      <c r="H569">
        <v>29</v>
      </c>
      <c r="I569" s="1">
        <v>43058</v>
      </c>
      <c r="J569" s="2">
        <v>53090</v>
      </c>
      <c r="K569" s="3">
        <v>0</v>
      </c>
      <c r="L569" t="s">
        <v>25</v>
      </c>
      <c r="M569" t="s">
        <v>70</v>
      </c>
      <c r="N569" s="2">
        <f>Employee_Data[[#This Row],[Basic Salary]]*10%</f>
        <v>442.41666666666674</v>
      </c>
      <c r="O569" s="4">
        <f>Employee_Data[[#This Row],[Basic Salary]]*7.5%</f>
        <v>331.8125</v>
      </c>
      <c r="P569" s="2">
        <f>Employee_Data[[#This Row],[Basic Salary]]*3%</f>
        <v>132.72499999999999</v>
      </c>
      <c r="Q569" s="2">
        <f>SUM(Employee_Data[[#This Row],[Basic Salary]],Employee_Data[[#This Row],[HRA]],Employee_Data[[#This Row],[MA]],Employee_Data[[#This Row],[TA]])</f>
        <v>5331.1208333333343</v>
      </c>
      <c r="R569" s="4">
        <f>Employee_Data[[#This Row],[Basic Salary]]*12.5%</f>
        <v>553.02083333333337</v>
      </c>
      <c r="S569" s="2">
        <f>Employee_Data[[#This Row],[Annual Salary]]/12</f>
        <v>4424.166666666667</v>
      </c>
    </row>
    <row r="570" spans="1:19" x14ac:dyDescent="0.3">
      <c r="A570" t="s">
        <v>1218</v>
      </c>
      <c r="B570" t="s">
        <v>1219</v>
      </c>
      <c r="C570" t="s">
        <v>69</v>
      </c>
      <c r="D570" t="s">
        <v>30</v>
      </c>
      <c r="E570" t="s">
        <v>56</v>
      </c>
      <c r="F570" t="s">
        <v>23</v>
      </c>
      <c r="G570" t="s">
        <v>43</v>
      </c>
      <c r="H570">
        <v>49</v>
      </c>
      <c r="I570" s="1">
        <v>35688</v>
      </c>
      <c r="J570" s="2">
        <v>108325</v>
      </c>
      <c r="K570" s="3">
        <v>0.1</v>
      </c>
      <c r="L570" t="s">
        <v>137</v>
      </c>
      <c r="M570" t="s">
        <v>289</v>
      </c>
      <c r="N570" s="2">
        <f>Employee_Data[[#This Row],[Basic Salary]]*10%</f>
        <v>902.70833333333348</v>
      </c>
      <c r="O570" s="4">
        <f>Employee_Data[[#This Row],[Basic Salary]]*7.5%</f>
        <v>677.03125</v>
      </c>
      <c r="P570" s="2">
        <f>Employee_Data[[#This Row],[Basic Salary]]*3%</f>
        <v>270.8125</v>
      </c>
      <c r="Q570" s="2">
        <f>SUM(Employee_Data[[#This Row],[Basic Salary]],Employee_Data[[#This Row],[HRA]],Employee_Data[[#This Row],[MA]],Employee_Data[[#This Row],[TA]])</f>
        <v>10877.635416666668</v>
      </c>
      <c r="R570" s="4">
        <f>Employee_Data[[#This Row],[Basic Salary]]*12.5%</f>
        <v>1128.3854166666667</v>
      </c>
      <c r="S570" s="2">
        <f>Employee_Data[[#This Row],[Annual Salary]]/12</f>
        <v>9027.0833333333339</v>
      </c>
    </row>
    <row r="571" spans="1:19" x14ac:dyDescent="0.3">
      <c r="A571" t="s">
        <v>1220</v>
      </c>
      <c r="B571" t="s">
        <v>1221</v>
      </c>
      <c r="C571" t="s">
        <v>54</v>
      </c>
      <c r="D571" t="s">
        <v>80</v>
      </c>
      <c r="E571" t="s">
        <v>31</v>
      </c>
      <c r="F571" t="s">
        <v>23</v>
      </c>
      <c r="G571" t="s">
        <v>84</v>
      </c>
      <c r="H571">
        <v>45</v>
      </c>
      <c r="I571" s="1">
        <v>43107</v>
      </c>
      <c r="J571" s="2">
        <v>98289</v>
      </c>
      <c r="K571" s="3">
        <v>0</v>
      </c>
      <c r="L571" t="s">
        <v>25</v>
      </c>
      <c r="M571" t="s">
        <v>26</v>
      </c>
      <c r="N571" s="2">
        <f>Employee_Data[[#This Row],[Basic Salary]]*10%</f>
        <v>819.07500000000005</v>
      </c>
      <c r="O571" s="4">
        <f>Employee_Data[[#This Row],[Basic Salary]]*7.5%</f>
        <v>614.30624999999998</v>
      </c>
      <c r="P571" s="2">
        <f>Employee_Data[[#This Row],[Basic Salary]]*3%</f>
        <v>245.7225</v>
      </c>
      <c r="Q571" s="2">
        <f>SUM(Employee_Data[[#This Row],[Basic Salary]],Employee_Data[[#This Row],[HRA]],Employee_Data[[#This Row],[MA]],Employee_Data[[#This Row],[TA]])</f>
        <v>9869.8537500000002</v>
      </c>
      <c r="R571" s="4">
        <f>Employee_Data[[#This Row],[Basic Salary]]*12.5%</f>
        <v>1023.84375</v>
      </c>
      <c r="S571" s="2">
        <f>Employee_Data[[#This Row],[Annual Salary]]/12</f>
        <v>8190.75</v>
      </c>
    </row>
    <row r="572" spans="1:19" x14ac:dyDescent="0.3">
      <c r="A572" t="s">
        <v>1222</v>
      </c>
      <c r="B572" t="s">
        <v>1223</v>
      </c>
      <c r="C572" t="s">
        <v>159</v>
      </c>
      <c r="D572" t="s">
        <v>4</v>
      </c>
      <c r="E572" t="s">
        <v>56</v>
      </c>
      <c r="F572" t="s">
        <v>23</v>
      </c>
      <c r="G572" t="s">
        <v>66</v>
      </c>
      <c r="H572">
        <v>44</v>
      </c>
      <c r="I572" s="1">
        <v>38039</v>
      </c>
      <c r="J572" s="2">
        <v>41275</v>
      </c>
      <c r="K572" s="3">
        <v>0</v>
      </c>
      <c r="L572" t="s">
        <v>25</v>
      </c>
      <c r="M572" t="s">
        <v>48</v>
      </c>
      <c r="N572" s="2">
        <f>Employee_Data[[#This Row],[Basic Salary]]*10%</f>
        <v>343.95833333333337</v>
      </c>
      <c r="O572" s="4">
        <f>Employee_Data[[#This Row],[Basic Salary]]*7.5%</f>
        <v>257.96875</v>
      </c>
      <c r="P572" s="2">
        <f>Employee_Data[[#This Row],[Basic Salary]]*3%</f>
        <v>103.1875</v>
      </c>
      <c r="Q572" s="2">
        <f>SUM(Employee_Data[[#This Row],[Basic Salary]],Employee_Data[[#This Row],[HRA]],Employee_Data[[#This Row],[MA]],Employee_Data[[#This Row],[TA]])</f>
        <v>4144.697916666667</v>
      </c>
      <c r="R572" s="4">
        <f>Employee_Data[[#This Row],[Basic Salary]]*12.5%</f>
        <v>429.94791666666669</v>
      </c>
      <c r="S572" s="2">
        <f>Employee_Data[[#This Row],[Annual Salary]]/12</f>
        <v>3439.5833333333335</v>
      </c>
    </row>
    <row r="573" spans="1:19" x14ac:dyDescent="0.3">
      <c r="A573" t="s">
        <v>1224</v>
      </c>
      <c r="B573" t="s">
        <v>1225</v>
      </c>
      <c r="C573" t="s">
        <v>54</v>
      </c>
      <c r="D573" t="s">
        <v>61</v>
      </c>
      <c r="E573" t="s">
        <v>56</v>
      </c>
      <c r="F573" t="s">
        <v>23</v>
      </c>
      <c r="G573" t="s">
        <v>66</v>
      </c>
      <c r="H573">
        <v>46</v>
      </c>
      <c r="I573" s="1">
        <v>40945</v>
      </c>
      <c r="J573" s="2">
        <v>93642</v>
      </c>
      <c r="K573" s="3">
        <v>0</v>
      </c>
      <c r="L573" t="s">
        <v>25</v>
      </c>
      <c r="M573" t="s">
        <v>26</v>
      </c>
      <c r="N573" s="2">
        <f>Employee_Data[[#This Row],[Basic Salary]]*10%</f>
        <v>780.35</v>
      </c>
      <c r="O573" s="4">
        <f>Employee_Data[[#This Row],[Basic Salary]]*7.5%</f>
        <v>585.26249999999993</v>
      </c>
      <c r="P573" s="2">
        <f>Employee_Data[[#This Row],[Basic Salary]]*3%</f>
        <v>234.10499999999999</v>
      </c>
      <c r="Q573" s="2">
        <f>SUM(Employee_Data[[#This Row],[Basic Salary]],Employee_Data[[#This Row],[HRA]],Employee_Data[[#This Row],[MA]],Employee_Data[[#This Row],[TA]])</f>
        <v>9403.2175000000007</v>
      </c>
      <c r="R573" s="4">
        <f>Employee_Data[[#This Row],[Basic Salary]]*12.5%</f>
        <v>975.4375</v>
      </c>
      <c r="S573" s="2">
        <f>Employee_Data[[#This Row],[Annual Salary]]/12</f>
        <v>7803.5</v>
      </c>
    </row>
    <row r="574" spans="1:19" x14ac:dyDescent="0.3">
      <c r="A574" t="s">
        <v>1226</v>
      </c>
      <c r="B574" t="s">
        <v>1227</v>
      </c>
      <c r="C574" t="s">
        <v>47</v>
      </c>
      <c r="D574" t="s">
        <v>126</v>
      </c>
      <c r="E574" t="s">
        <v>36</v>
      </c>
      <c r="F574" t="s">
        <v>23</v>
      </c>
      <c r="G574" t="s">
        <v>24</v>
      </c>
      <c r="H574">
        <v>36</v>
      </c>
      <c r="I574" s="1">
        <v>40476</v>
      </c>
      <c r="J574" s="2">
        <v>162957</v>
      </c>
      <c r="K574" s="3">
        <v>0.18</v>
      </c>
      <c r="L574" t="s">
        <v>37</v>
      </c>
      <c r="M574" t="s">
        <v>57</v>
      </c>
      <c r="N574" s="2">
        <f>Employee_Data[[#This Row],[Basic Salary]]*10%</f>
        <v>1357.9750000000001</v>
      </c>
      <c r="O574" s="4">
        <f>Employee_Data[[#This Row],[Basic Salary]]*7.5%</f>
        <v>1018.4812499999999</v>
      </c>
      <c r="P574" s="2">
        <f>Employee_Data[[#This Row],[Basic Salary]]*3%</f>
        <v>407.39249999999998</v>
      </c>
      <c r="Q574" s="2">
        <f>SUM(Employee_Data[[#This Row],[Basic Salary]],Employee_Data[[#This Row],[HRA]],Employee_Data[[#This Row],[MA]],Employee_Data[[#This Row],[TA]])</f>
        <v>16363.598750000001</v>
      </c>
      <c r="R574" s="4">
        <f>Employee_Data[[#This Row],[Basic Salary]]*12.5%</f>
        <v>1697.46875</v>
      </c>
      <c r="S574" s="2">
        <f>Employee_Data[[#This Row],[Annual Salary]]/12</f>
        <v>13579.75</v>
      </c>
    </row>
    <row r="575" spans="1:19" x14ac:dyDescent="0.3">
      <c r="A575" t="s">
        <v>1228</v>
      </c>
      <c r="B575" t="s">
        <v>1229</v>
      </c>
      <c r="C575" t="s">
        <v>54</v>
      </c>
      <c r="D575" t="s">
        <v>55</v>
      </c>
      <c r="E575" t="s">
        <v>22</v>
      </c>
      <c r="F575" t="s">
        <v>23</v>
      </c>
      <c r="G575" t="s">
        <v>43</v>
      </c>
      <c r="H575">
        <v>45</v>
      </c>
      <c r="I575" s="1">
        <v>44661</v>
      </c>
      <c r="J575" s="2">
        <v>96029</v>
      </c>
      <c r="K575" s="3">
        <v>0</v>
      </c>
      <c r="L575" t="s">
        <v>137</v>
      </c>
      <c r="M575" t="s">
        <v>138</v>
      </c>
      <c r="N575" s="2">
        <f>Employee_Data[[#This Row],[Basic Salary]]*10%</f>
        <v>800.24166666666679</v>
      </c>
      <c r="O575" s="4">
        <f>Employee_Data[[#This Row],[Basic Salary]]*7.5%</f>
        <v>600.18124999999998</v>
      </c>
      <c r="P575" s="2">
        <f>Employee_Data[[#This Row],[Basic Salary]]*3%</f>
        <v>240.07249999999999</v>
      </c>
      <c r="Q575" s="2">
        <f>SUM(Employee_Data[[#This Row],[Basic Salary]],Employee_Data[[#This Row],[HRA]],Employee_Data[[#This Row],[MA]],Employee_Data[[#This Row],[TA]])</f>
        <v>9642.9120833333327</v>
      </c>
      <c r="R575" s="4">
        <f>Employee_Data[[#This Row],[Basic Salary]]*12.5%</f>
        <v>1000.3020833333334</v>
      </c>
      <c r="S575" s="2">
        <f>Employee_Data[[#This Row],[Annual Salary]]/12</f>
        <v>8002.416666666667</v>
      </c>
    </row>
    <row r="576" spans="1:19" x14ac:dyDescent="0.3">
      <c r="A576" t="s">
        <v>1230</v>
      </c>
      <c r="B576" t="s">
        <v>1231</v>
      </c>
      <c r="C576" t="s">
        <v>89</v>
      </c>
      <c r="D576" t="s">
        <v>126</v>
      </c>
      <c r="E576" t="s">
        <v>36</v>
      </c>
      <c r="F576" t="s">
        <v>23</v>
      </c>
      <c r="G576" t="s">
        <v>43</v>
      </c>
      <c r="H576">
        <v>55</v>
      </c>
      <c r="I576" s="1">
        <v>36220</v>
      </c>
      <c r="J576" s="2">
        <v>227148</v>
      </c>
      <c r="K576" s="3">
        <v>0.33</v>
      </c>
      <c r="L576" t="s">
        <v>137</v>
      </c>
      <c r="M576" t="s">
        <v>183</v>
      </c>
      <c r="N576" s="2">
        <f>Employee_Data[[#This Row],[Basic Salary]]*10%</f>
        <v>1892.9</v>
      </c>
      <c r="O576" s="4">
        <f>Employee_Data[[#This Row],[Basic Salary]]*7.5%</f>
        <v>1419.675</v>
      </c>
      <c r="P576" s="2">
        <f>Employee_Data[[#This Row],[Basic Salary]]*3%</f>
        <v>567.87</v>
      </c>
      <c r="Q576" s="2">
        <f>SUM(Employee_Data[[#This Row],[Basic Salary]],Employee_Data[[#This Row],[HRA]],Employee_Data[[#This Row],[MA]],Employee_Data[[#This Row],[TA]])</f>
        <v>22809.445</v>
      </c>
      <c r="R576" s="4">
        <f>Employee_Data[[#This Row],[Basic Salary]]*12.5%</f>
        <v>2366.125</v>
      </c>
      <c r="S576" s="2">
        <f>Employee_Data[[#This Row],[Annual Salary]]/12</f>
        <v>18929</v>
      </c>
    </row>
    <row r="577" spans="1:19" x14ac:dyDescent="0.3">
      <c r="A577" t="s">
        <v>1232</v>
      </c>
      <c r="B577" t="s">
        <v>1233</v>
      </c>
      <c r="C577" t="s">
        <v>164</v>
      </c>
      <c r="D577" t="s">
        <v>4</v>
      </c>
      <c r="E577" t="s">
        <v>56</v>
      </c>
      <c r="F577" t="s">
        <v>23</v>
      </c>
      <c r="G577" t="s">
        <v>66</v>
      </c>
      <c r="H577">
        <v>43</v>
      </c>
      <c r="I577" s="1">
        <v>39708</v>
      </c>
      <c r="J577" s="2">
        <v>76819</v>
      </c>
      <c r="K577" s="3">
        <v>0</v>
      </c>
      <c r="L577" t="s">
        <v>25</v>
      </c>
      <c r="M577" t="s">
        <v>51</v>
      </c>
      <c r="N577" s="2">
        <f>Employee_Data[[#This Row],[Basic Salary]]*10%</f>
        <v>640.1583333333333</v>
      </c>
      <c r="O577" s="4">
        <f>Employee_Data[[#This Row],[Basic Salary]]*7.5%</f>
        <v>480.11874999999998</v>
      </c>
      <c r="P577" s="2">
        <f>Employee_Data[[#This Row],[Basic Salary]]*3%</f>
        <v>192.04749999999999</v>
      </c>
      <c r="Q577" s="2">
        <f>SUM(Employee_Data[[#This Row],[Basic Salary]],Employee_Data[[#This Row],[HRA]],Employee_Data[[#This Row],[MA]],Employee_Data[[#This Row],[TA]])</f>
        <v>7713.9079166666661</v>
      </c>
      <c r="R577" s="4">
        <f>Employee_Data[[#This Row],[Basic Salary]]*12.5%</f>
        <v>800.19791666666663</v>
      </c>
      <c r="S577" s="2">
        <f>Employee_Data[[#This Row],[Annual Salary]]/12</f>
        <v>6401.583333333333</v>
      </c>
    </row>
    <row r="578" spans="1:19" x14ac:dyDescent="0.3">
      <c r="A578" t="s">
        <v>1234</v>
      </c>
      <c r="B578" t="s">
        <v>1235</v>
      </c>
      <c r="C578" t="s">
        <v>60</v>
      </c>
      <c r="D578" t="s">
        <v>30</v>
      </c>
      <c r="E578" t="s">
        <v>56</v>
      </c>
      <c r="F578" t="s">
        <v>23</v>
      </c>
      <c r="G578" t="s">
        <v>24</v>
      </c>
      <c r="H578">
        <v>30</v>
      </c>
      <c r="I578" s="1">
        <v>44805</v>
      </c>
      <c r="J578" s="2">
        <v>66892</v>
      </c>
      <c r="K578" s="3">
        <v>0</v>
      </c>
      <c r="L578" t="s">
        <v>25</v>
      </c>
      <c r="M578" t="s">
        <v>44</v>
      </c>
      <c r="N578" s="2">
        <f>Employee_Data[[#This Row],[Basic Salary]]*10%</f>
        <v>557.43333333333328</v>
      </c>
      <c r="O578" s="4">
        <f>Employee_Data[[#This Row],[Basic Salary]]*7.5%</f>
        <v>418.07499999999999</v>
      </c>
      <c r="P578" s="2">
        <f>Employee_Data[[#This Row],[Basic Salary]]*3%</f>
        <v>167.23</v>
      </c>
      <c r="Q578" s="2">
        <f>SUM(Employee_Data[[#This Row],[Basic Salary]],Employee_Data[[#This Row],[HRA]],Employee_Data[[#This Row],[MA]],Employee_Data[[#This Row],[TA]])</f>
        <v>6717.0716666666658</v>
      </c>
      <c r="R578" s="4">
        <f>Employee_Data[[#This Row],[Basic Salary]]*12.5%</f>
        <v>696.79166666666663</v>
      </c>
      <c r="S578" s="2">
        <f>Employee_Data[[#This Row],[Annual Salary]]/12</f>
        <v>5574.333333333333</v>
      </c>
    </row>
    <row r="579" spans="1:19" x14ac:dyDescent="0.3">
      <c r="A579" t="s">
        <v>1236</v>
      </c>
      <c r="B579" t="s">
        <v>1237</v>
      </c>
      <c r="C579" t="s">
        <v>89</v>
      </c>
      <c r="D579" t="s">
        <v>80</v>
      </c>
      <c r="E579" t="s">
        <v>22</v>
      </c>
      <c r="F579" t="s">
        <v>42</v>
      </c>
      <c r="G579" t="s">
        <v>66</v>
      </c>
      <c r="H579">
        <v>48</v>
      </c>
      <c r="I579" s="1">
        <v>36335</v>
      </c>
      <c r="J579" s="2">
        <v>256084</v>
      </c>
      <c r="K579" s="3">
        <v>0.34</v>
      </c>
      <c r="L579" t="s">
        <v>25</v>
      </c>
      <c r="M579" t="s">
        <v>26</v>
      </c>
      <c r="N579" s="2">
        <f>Employee_Data[[#This Row],[Basic Salary]]*10%</f>
        <v>2134.0333333333333</v>
      </c>
      <c r="O579" s="4">
        <f>Employee_Data[[#This Row],[Basic Salary]]*7.5%</f>
        <v>1600.5249999999999</v>
      </c>
      <c r="P579" s="2">
        <f>Employee_Data[[#This Row],[Basic Salary]]*3%</f>
        <v>640.20999999999992</v>
      </c>
      <c r="Q579" s="2">
        <f>SUM(Employee_Data[[#This Row],[Basic Salary]],Employee_Data[[#This Row],[HRA]],Employee_Data[[#This Row],[MA]],Employee_Data[[#This Row],[TA]])</f>
        <v>25715.101666666666</v>
      </c>
      <c r="R579" s="4">
        <f>Employee_Data[[#This Row],[Basic Salary]]*12.5%</f>
        <v>2667.5416666666665</v>
      </c>
      <c r="S579" s="2">
        <f>Employee_Data[[#This Row],[Annual Salary]]/12</f>
        <v>21340.333333333332</v>
      </c>
    </row>
    <row r="580" spans="1:19" x14ac:dyDescent="0.3">
      <c r="A580" t="s">
        <v>1238</v>
      </c>
      <c r="B580" t="s">
        <v>1239</v>
      </c>
      <c r="C580" t="s">
        <v>54</v>
      </c>
      <c r="D580" t="s">
        <v>80</v>
      </c>
      <c r="E580" t="s">
        <v>56</v>
      </c>
      <c r="F580" t="s">
        <v>42</v>
      </c>
      <c r="G580" t="s">
        <v>84</v>
      </c>
      <c r="H580">
        <v>60</v>
      </c>
      <c r="I580" s="1">
        <v>38430</v>
      </c>
      <c r="J580" s="2">
        <v>85669</v>
      </c>
      <c r="K580" s="3">
        <v>0</v>
      </c>
      <c r="L580" t="s">
        <v>25</v>
      </c>
      <c r="M580" t="s">
        <v>51</v>
      </c>
      <c r="N580" s="2">
        <f>Employee_Data[[#This Row],[Basic Salary]]*10%</f>
        <v>713.9083333333333</v>
      </c>
      <c r="O580" s="4">
        <f>Employee_Data[[#This Row],[Basic Salary]]*7.5%</f>
        <v>535.43124999999998</v>
      </c>
      <c r="P580" s="2">
        <f>Employee_Data[[#This Row],[Basic Salary]]*3%</f>
        <v>214.17249999999999</v>
      </c>
      <c r="Q580" s="2">
        <f>SUM(Employee_Data[[#This Row],[Basic Salary]],Employee_Data[[#This Row],[HRA]],Employee_Data[[#This Row],[MA]],Employee_Data[[#This Row],[TA]])</f>
        <v>8602.595416666667</v>
      </c>
      <c r="R580" s="4">
        <f>Employee_Data[[#This Row],[Basic Salary]]*12.5%</f>
        <v>892.38541666666663</v>
      </c>
      <c r="S580" s="2">
        <f>Employee_Data[[#This Row],[Annual Salary]]/12</f>
        <v>7139.083333333333</v>
      </c>
    </row>
    <row r="581" spans="1:19" x14ac:dyDescent="0.3">
      <c r="A581" t="s">
        <v>1240</v>
      </c>
      <c r="B581" t="s">
        <v>1241</v>
      </c>
      <c r="C581" t="s">
        <v>159</v>
      </c>
      <c r="D581" t="s">
        <v>4</v>
      </c>
      <c r="E581" t="s">
        <v>36</v>
      </c>
      <c r="F581" t="s">
        <v>23</v>
      </c>
      <c r="G581" t="s">
        <v>24</v>
      </c>
      <c r="H581">
        <v>30</v>
      </c>
      <c r="I581" s="1">
        <v>44448</v>
      </c>
      <c r="J581" s="2">
        <v>44454</v>
      </c>
      <c r="K581" s="3">
        <v>0</v>
      </c>
      <c r="L581" t="s">
        <v>37</v>
      </c>
      <c r="M581" t="s">
        <v>111</v>
      </c>
      <c r="N581" s="2">
        <f>Employee_Data[[#This Row],[Basic Salary]]*10%</f>
        <v>370.45000000000005</v>
      </c>
      <c r="O581" s="4">
        <f>Employee_Data[[#This Row],[Basic Salary]]*7.5%</f>
        <v>277.83749999999998</v>
      </c>
      <c r="P581" s="2">
        <f>Employee_Data[[#This Row],[Basic Salary]]*3%</f>
        <v>111.13499999999999</v>
      </c>
      <c r="Q581" s="2">
        <f>SUM(Employee_Data[[#This Row],[Basic Salary]],Employee_Data[[#This Row],[HRA]],Employee_Data[[#This Row],[MA]],Employee_Data[[#This Row],[TA]])</f>
        <v>4463.9224999999997</v>
      </c>
      <c r="R581" s="4">
        <f>Employee_Data[[#This Row],[Basic Salary]]*12.5%</f>
        <v>463.0625</v>
      </c>
      <c r="S581" s="2">
        <f>Employee_Data[[#This Row],[Annual Salary]]/12</f>
        <v>3704.5</v>
      </c>
    </row>
    <row r="582" spans="1:19" x14ac:dyDescent="0.3">
      <c r="A582" t="s">
        <v>1242</v>
      </c>
      <c r="B582" t="s">
        <v>1243</v>
      </c>
      <c r="C582" t="s">
        <v>159</v>
      </c>
      <c r="D582" t="s">
        <v>4</v>
      </c>
      <c r="E582" t="s">
        <v>56</v>
      </c>
      <c r="F582" t="s">
        <v>23</v>
      </c>
      <c r="G582" t="s">
        <v>66</v>
      </c>
      <c r="H582">
        <v>25</v>
      </c>
      <c r="I582" s="1">
        <v>44299</v>
      </c>
      <c r="J582" s="2">
        <v>54353</v>
      </c>
      <c r="K582" s="3">
        <v>0</v>
      </c>
      <c r="L582" t="s">
        <v>25</v>
      </c>
      <c r="M582" t="s">
        <v>32</v>
      </c>
      <c r="N582" s="2">
        <f>Employee_Data[[#This Row],[Basic Salary]]*10%</f>
        <v>452.94166666666672</v>
      </c>
      <c r="O582" s="4">
        <f>Employee_Data[[#This Row],[Basic Salary]]*7.5%</f>
        <v>339.70625000000001</v>
      </c>
      <c r="P582" s="2">
        <f>Employee_Data[[#This Row],[Basic Salary]]*3%</f>
        <v>135.88249999999999</v>
      </c>
      <c r="Q582" s="2">
        <f>SUM(Employee_Data[[#This Row],[Basic Salary]],Employee_Data[[#This Row],[HRA]],Employee_Data[[#This Row],[MA]],Employee_Data[[#This Row],[TA]])</f>
        <v>5457.9470833333335</v>
      </c>
      <c r="R582" s="4">
        <f>Employee_Data[[#This Row],[Basic Salary]]*12.5%</f>
        <v>566.17708333333337</v>
      </c>
      <c r="S582" s="2">
        <f>Employee_Data[[#This Row],[Annual Salary]]/12</f>
        <v>4529.416666666667</v>
      </c>
    </row>
    <row r="583" spans="1:19" x14ac:dyDescent="0.3">
      <c r="A583" t="s">
        <v>1244</v>
      </c>
      <c r="B583" t="s">
        <v>1245</v>
      </c>
      <c r="C583" t="s">
        <v>60</v>
      </c>
      <c r="D583" t="s">
        <v>30</v>
      </c>
      <c r="E583" t="s">
        <v>56</v>
      </c>
      <c r="F583" t="s">
        <v>23</v>
      </c>
      <c r="G583" t="s">
        <v>43</v>
      </c>
      <c r="H583">
        <v>58</v>
      </c>
      <c r="I583" s="1">
        <v>41970</v>
      </c>
      <c r="J583" s="2">
        <v>58867</v>
      </c>
      <c r="K583" s="3">
        <v>0</v>
      </c>
      <c r="L583" t="s">
        <v>137</v>
      </c>
      <c r="M583" t="s">
        <v>138</v>
      </c>
      <c r="N583" s="2">
        <f>Employee_Data[[#This Row],[Basic Salary]]*10%</f>
        <v>490.55833333333334</v>
      </c>
      <c r="O583" s="4">
        <f>Employee_Data[[#This Row],[Basic Salary]]*7.5%</f>
        <v>367.91874999999999</v>
      </c>
      <c r="P583" s="2">
        <f>Employee_Data[[#This Row],[Basic Salary]]*3%</f>
        <v>147.16749999999999</v>
      </c>
      <c r="Q583" s="2">
        <f>SUM(Employee_Data[[#This Row],[Basic Salary]],Employee_Data[[#This Row],[HRA]],Employee_Data[[#This Row],[MA]],Employee_Data[[#This Row],[TA]])</f>
        <v>5911.2279166666658</v>
      </c>
      <c r="R583" s="4">
        <f>Employee_Data[[#This Row],[Basic Salary]]*12.5%</f>
        <v>613.19791666666663</v>
      </c>
      <c r="S583" s="2">
        <f>Employee_Data[[#This Row],[Annual Salary]]/12</f>
        <v>4905.583333333333</v>
      </c>
    </row>
    <row r="584" spans="1:19" x14ac:dyDescent="0.3">
      <c r="A584" t="s">
        <v>1246</v>
      </c>
      <c r="B584" t="s">
        <v>1247</v>
      </c>
      <c r="C584" t="s">
        <v>69</v>
      </c>
      <c r="D584" t="s">
        <v>126</v>
      </c>
      <c r="E584" t="s">
        <v>31</v>
      </c>
      <c r="F584" t="s">
        <v>23</v>
      </c>
      <c r="G584" t="s">
        <v>43</v>
      </c>
      <c r="H584">
        <v>37</v>
      </c>
      <c r="I584" s="1">
        <v>44641</v>
      </c>
      <c r="J584" s="2">
        <v>123918</v>
      </c>
      <c r="K584" s="3">
        <v>0.08</v>
      </c>
      <c r="L584" t="s">
        <v>137</v>
      </c>
      <c r="M584" t="s">
        <v>138</v>
      </c>
      <c r="N584" s="2">
        <f>Employee_Data[[#This Row],[Basic Salary]]*10%</f>
        <v>1032.6500000000001</v>
      </c>
      <c r="O584" s="4">
        <f>Employee_Data[[#This Row],[Basic Salary]]*7.5%</f>
        <v>774.48749999999995</v>
      </c>
      <c r="P584" s="2">
        <f>Employee_Data[[#This Row],[Basic Salary]]*3%</f>
        <v>309.79500000000002</v>
      </c>
      <c r="Q584" s="2">
        <f>SUM(Employee_Data[[#This Row],[Basic Salary]],Employee_Data[[#This Row],[HRA]],Employee_Data[[#This Row],[MA]],Employee_Data[[#This Row],[TA]])</f>
        <v>12443.432499999999</v>
      </c>
      <c r="R584" s="4">
        <f>Employee_Data[[#This Row],[Basic Salary]]*12.5%</f>
        <v>1290.8125</v>
      </c>
      <c r="S584" s="2">
        <f>Employee_Data[[#This Row],[Annual Salary]]/12</f>
        <v>10326.5</v>
      </c>
    </row>
    <row r="585" spans="1:19" x14ac:dyDescent="0.3">
      <c r="A585" t="s">
        <v>1248</v>
      </c>
      <c r="B585" t="s">
        <v>1249</v>
      </c>
      <c r="C585" t="s">
        <v>159</v>
      </c>
      <c r="D585" t="s">
        <v>4</v>
      </c>
      <c r="E585" t="s">
        <v>36</v>
      </c>
      <c r="F585" t="s">
        <v>23</v>
      </c>
      <c r="G585" t="s">
        <v>24</v>
      </c>
      <c r="H585">
        <v>44</v>
      </c>
      <c r="I585" s="1">
        <v>40305</v>
      </c>
      <c r="J585" s="2">
        <v>56680</v>
      </c>
      <c r="K585" s="3">
        <v>0</v>
      </c>
      <c r="L585" t="s">
        <v>25</v>
      </c>
      <c r="M585" t="s">
        <v>32</v>
      </c>
      <c r="N585" s="2">
        <f>Employee_Data[[#This Row],[Basic Salary]]*10%</f>
        <v>472.33333333333331</v>
      </c>
      <c r="O585" s="4">
        <f>Employee_Data[[#This Row],[Basic Salary]]*7.5%</f>
        <v>354.24999999999994</v>
      </c>
      <c r="P585" s="2">
        <f>Employee_Data[[#This Row],[Basic Salary]]*3%</f>
        <v>141.69999999999999</v>
      </c>
      <c r="Q585" s="2">
        <f>SUM(Employee_Data[[#This Row],[Basic Salary]],Employee_Data[[#This Row],[HRA]],Employee_Data[[#This Row],[MA]],Employee_Data[[#This Row],[TA]])</f>
        <v>5691.6166666666659</v>
      </c>
      <c r="R585" s="4">
        <f>Employee_Data[[#This Row],[Basic Salary]]*12.5%</f>
        <v>590.41666666666663</v>
      </c>
      <c r="S585" s="2">
        <f>Employee_Data[[#This Row],[Annual Salary]]/12</f>
        <v>4723.333333333333</v>
      </c>
    </row>
    <row r="586" spans="1:19" x14ac:dyDescent="0.3">
      <c r="A586" t="s">
        <v>1250</v>
      </c>
      <c r="B586" t="s">
        <v>1251</v>
      </c>
      <c r="C586" t="s">
        <v>131</v>
      </c>
      <c r="D586" t="s">
        <v>126</v>
      </c>
      <c r="E586" t="s">
        <v>36</v>
      </c>
      <c r="F586" t="s">
        <v>42</v>
      </c>
      <c r="G586" t="s">
        <v>43</v>
      </c>
      <c r="H586">
        <v>53</v>
      </c>
      <c r="I586" s="1">
        <v>43747</v>
      </c>
      <c r="J586" s="2">
        <v>55206</v>
      </c>
      <c r="K586" s="3">
        <v>0</v>
      </c>
      <c r="L586" t="s">
        <v>25</v>
      </c>
      <c r="M586" t="s">
        <v>70</v>
      </c>
      <c r="N586" s="2">
        <f>Employee_Data[[#This Row],[Basic Salary]]*10%</f>
        <v>460.05</v>
      </c>
      <c r="O586" s="4">
        <f>Employee_Data[[#This Row],[Basic Salary]]*7.5%</f>
        <v>345.03749999999997</v>
      </c>
      <c r="P586" s="2">
        <f>Employee_Data[[#This Row],[Basic Salary]]*3%</f>
        <v>138.01499999999999</v>
      </c>
      <c r="Q586" s="2">
        <f>SUM(Employee_Data[[#This Row],[Basic Salary]],Employee_Data[[#This Row],[HRA]],Employee_Data[[#This Row],[MA]],Employee_Data[[#This Row],[TA]])</f>
        <v>5543.6025000000009</v>
      </c>
      <c r="R586" s="4">
        <f>Employee_Data[[#This Row],[Basic Salary]]*12.5%</f>
        <v>575.0625</v>
      </c>
      <c r="S586" s="2">
        <f>Employee_Data[[#This Row],[Annual Salary]]/12</f>
        <v>4600.5</v>
      </c>
    </row>
    <row r="587" spans="1:19" x14ac:dyDescent="0.3">
      <c r="A587" t="s">
        <v>1252</v>
      </c>
      <c r="B587" t="s">
        <v>1253</v>
      </c>
      <c r="C587" t="s">
        <v>47</v>
      </c>
      <c r="D587" t="s">
        <v>30</v>
      </c>
      <c r="E587" t="s">
        <v>56</v>
      </c>
      <c r="F587" t="s">
        <v>42</v>
      </c>
      <c r="G587" t="s">
        <v>24</v>
      </c>
      <c r="H587">
        <v>58</v>
      </c>
      <c r="I587" s="1">
        <v>40191</v>
      </c>
      <c r="J587" s="2">
        <v>150633</v>
      </c>
      <c r="K587" s="3">
        <v>0.19</v>
      </c>
      <c r="L587" t="s">
        <v>25</v>
      </c>
      <c r="M587" t="s">
        <v>51</v>
      </c>
      <c r="N587" s="2">
        <f>Employee_Data[[#This Row],[Basic Salary]]*10%</f>
        <v>1255.2750000000001</v>
      </c>
      <c r="O587" s="4">
        <f>Employee_Data[[#This Row],[Basic Salary]]*7.5%</f>
        <v>941.45624999999995</v>
      </c>
      <c r="P587" s="2">
        <f>Employee_Data[[#This Row],[Basic Salary]]*3%</f>
        <v>376.58249999999998</v>
      </c>
      <c r="Q587" s="2">
        <f>SUM(Employee_Data[[#This Row],[Basic Salary]],Employee_Data[[#This Row],[HRA]],Employee_Data[[#This Row],[MA]],Employee_Data[[#This Row],[TA]])</f>
        <v>15126.063749999999</v>
      </c>
      <c r="R587" s="4">
        <f>Employee_Data[[#This Row],[Basic Salary]]*12.5%</f>
        <v>1569.09375</v>
      </c>
      <c r="S587" s="2">
        <f>Employee_Data[[#This Row],[Annual Salary]]/12</f>
        <v>12552.75</v>
      </c>
    </row>
    <row r="588" spans="1:19" x14ac:dyDescent="0.3">
      <c r="A588" t="s">
        <v>1254</v>
      </c>
      <c r="B588" t="s">
        <v>1255</v>
      </c>
      <c r="C588" t="s">
        <v>35</v>
      </c>
      <c r="D588" t="s">
        <v>4</v>
      </c>
      <c r="E588" t="s">
        <v>56</v>
      </c>
      <c r="F588" t="s">
        <v>23</v>
      </c>
      <c r="G588" t="s">
        <v>66</v>
      </c>
      <c r="H588">
        <v>65</v>
      </c>
      <c r="I588" s="1">
        <v>43856</v>
      </c>
      <c r="J588" s="2">
        <v>97379</v>
      </c>
      <c r="K588" s="3">
        <v>0</v>
      </c>
      <c r="L588" t="s">
        <v>25</v>
      </c>
      <c r="M588" t="s">
        <v>44</v>
      </c>
      <c r="N588" s="2">
        <f>Employee_Data[[#This Row],[Basic Salary]]*10%</f>
        <v>811.49166666666679</v>
      </c>
      <c r="O588" s="4">
        <f>Employee_Data[[#This Row],[Basic Salary]]*7.5%</f>
        <v>608.61874999999998</v>
      </c>
      <c r="P588" s="2">
        <f>Employee_Data[[#This Row],[Basic Salary]]*3%</f>
        <v>243.44749999999999</v>
      </c>
      <c r="Q588" s="2">
        <f>SUM(Employee_Data[[#This Row],[Basic Salary]],Employee_Data[[#This Row],[HRA]],Employee_Data[[#This Row],[MA]],Employee_Data[[#This Row],[TA]])</f>
        <v>9778.4745833333327</v>
      </c>
      <c r="R588" s="4">
        <f>Employee_Data[[#This Row],[Basic Salary]]*12.5%</f>
        <v>1014.3645833333334</v>
      </c>
      <c r="S588" s="2">
        <f>Employee_Data[[#This Row],[Annual Salary]]/12</f>
        <v>8114.916666666667</v>
      </c>
    </row>
    <row r="589" spans="1:19" x14ac:dyDescent="0.3">
      <c r="A589" t="s">
        <v>1256</v>
      </c>
      <c r="B589" t="s">
        <v>1257</v>
      </c>
      <c r="C589" t="s">
        <v>47</v>
      </c>
      <c r="D589" t="s">
        <v>55</v>
      </c>
      <c r="E589" t="s">
        <v>36</v>
      </c>
      <c r="F589" t="s">
        <v>23</v>
      </c>
      <c r="G589" t="s">
        <v>24</v>
      </c>
      <c r="H589">
        <v>57</v>
      </c>
      <c r="I589" s="1">
        <v>36614</v>
      </c>
      <c r="J589" s="2">
        <v>178447</v>
      </c>
      <c r="K589" s="3">
        <v>0.22</v>
      </c>
      <c r="L589" t="s">
        <v>37</v>
      </c>
      <c r="M589" t="s">
        <v>62</v>
      </c>
      <c r="N589" s="2">
        <f>Employee_Data[[#This Row],[Basic Salary]]*10%</f>
        <v>1487.0583333333334</v>
      </c>
      <c r="O589" s="4">
        <f>Employee_Data[[#This Row],[Basic Salary]]*7.5%</f>
        <v>1115.29375</v>
      </c>
      <c r="P589" s="2">
        <f>Employee_Data[[#This Row],[Basic Salary]]*3%</f>
        <v>446.11750000000001</v>
      </c>
      <c r="Q589" s="2">
        <f>SUM(Employee_Data[[#This Row],[Basic Salary]],Employee_Data[[#This Row],[HRA]],Employee_Data[[#This Row],[MA]],Employee_Data[[#This Row],[TA]])</f>
        <v>17919.052916666667</v>
      </c>
      <c r="R589" s="4">
        <f>Employee_Data[[#This Row],[Basic Salary]]*12.5%</f>
        <v>1858.8229166666667</v>
      </c>
      <c r="S589" s="2">
        <f>Employee_Data[[#This Row],[Annual Salary]]/12</f>
        <v>14870.583333333334</v>
      </c>
    </row>
    <row r="590" spans="1:19" x14ac:dyDescent="0.3">
      <c r="A590" t="s">
        <v>1258</v>
      </c>
      <c r="B590" t="s">
        <v>1259</v>
      </c>
      <c r="C590" t="s">
        <v>35</v>
      </c>
      <c r="D590" t="s">
        <v>4</v>
      </c>
      <c r="E590" t="s">
        <v>22</v>
      </c>
      <c r="F590" t="s">
        <v>23</v>
      </c>
      <c r="G590" t="s">
        <v>43</v>
      </c>
      <c r="H590">
        <v>31</v>
      </c>
      <c r="I590" s="1">
        <v>44360</v>
      </c>
      <c r="J590" s="2">
        <v>60827</v>
      </c>
      <c r="K590" s="3">
        <v>0</v>
      </c>
      <c r="L590" t="s">
        <v>25</v>
      </c>
      <c r="M590" t="s">
        <v>51</v>
      </c>
      <c r="N590" s="2">
        <f>Employee_Data[[#This Row],[Basic Salary]]*10%</f>
        <v>506.89166666666671</v>
      </c>
      <c r="O590" s="4">
        <f>Employee_Data[[#This Row],[Basic Salary]]*7.5%</f>
        <v>380.16874999999999</v>
      </c>
      <c r="P590" s="2">
        <f>Employee_Data[[#This Row],[Basic Salary]]*3%</f>
        <v>152.0675</v>
      </c>
      <c r="Q590" s="2">
        <f>SUM(Employee_Data[[#This Row],[Basic Salary]],Employee_Data[[#This Row],[HRA]],Employee_Data[[#This Row],[MA]],Employee_Data[[#This Row],[TA]])</f>
        <v>6108.0445833333333</v>
      </c>
      <c r="R590" s="4">
        <f>Employee_Data[[#This Row],[Basic Salary]]*12.5%</f>
        <v>633.61458333333337</v>
      </c>
      <c r="S590" s="2">
        <f>Employee_Data[[#This Row],[Annual Salary]]/12</f>
        <v>5068.916666666667</v>
      </c>
    </row>
    <row r="591" spans="1:19" x14ac:dyDescent="0.3">
      <c r="A591" t="s">
        <v>1260</v>
      </c>
      <c r="B591" t="s">
        <v>1261</v>
      </c>
      <c r="C591" t="s">
        <v>268</v>
      </c>
      <c r="D591" t="s">
        <v>21</v>
      </c>
      <c r="E591" t="s">
        <v>22</v>
      </c>
      <c r="F591" t="s">
        <v>23</v>
      </c>
      <c r="G591" t="s">
        <v>24</v>
      </c>
      <c r="H591">
        <v>32</v>
      </c>
      <c r="I591" s="1">
        <v>43583</v>
      </c>
      <c r="J591" s="2">
        <v>96951</v>
      </c>
      <c r="K591" s="3">
        <v>0.13</v>
      </c>
      <c r="L591" t="s">
        <v>37</v>
      </c>
      <c r="M591" t="s">
        <v>62</v>
      </c>
      <c r="N591" s="2">
        <f>Employee_Data[[#This Row],[Basic Salary]]*10%</f>
        <v>807.92500000000007</v>
      </c>
      <c r="O591" s="4">
        <f>Employee_Data[[#This Row],[Basic Salary]]*7.5%</f>
        <v>605.94375000000002</v>
      </c>
      <c r="P591" s="2">
        <f>Employee_Data[[#This Row],[Basic Salary]]*3%</f>
        <v>242.3775</v>
      </c>
      <c r="Q591" s="2">
        <f>SUM(Employee_Data[[#This Row],[Basic Salary]],Employee_Data[[#This Row],[HRA]],Employee_Data[[#This Row],[MA]],Employee_Data[[#This Row],[TA]])</f>
        <v>9735.4962500000001</v>
      </c>
      <c r="R591" s="4">
        <f>Employee_Data[[#This Row],[Basic Salary]]*12.5%</f>
        <v>1009.90625</v>
      </c>
      <c r="S591" s="2">
        <f>Employee_Data[[#This Row],[Annual Salary]]/12</f>
        <v>8079.25</v>
      </c>
    </row>
    <row r="592" spans="1:19" x14ac:dyDescent="0.3">
      <c r="A592" t="s">
        <v>1262</v>
      </c>
      <c r="B592" t="s">
        <v>1263</v>
      </c>
      <c r="C592" t="s">
        <v>69</v>
      </c>
      <c r="D592" t="s">
        <v>55</v>
      </c>
      <c r="E592" t="s">
        <v>56</v>
      </c>
      <c r="F592" t="s">
        <v>23</v>
      </c>
      <c r="G592" t="s">
        <v>66</v>
      </c>
      <c r="H592">
        <v>48</v>
      </c>
      <c r="I592" s="1">
        <v>36897</v>
      </c>
      <c r="J592" s="2">
        <v>103051</v>
      </c>
      <c r="K592" s="3">
        <v>0.09</v>
      </c>
      <c r="L592" t="s">
        <v>25</v>
      </c>
      <c r="M592" t="s">
        <v>51</v>
      </c>
      <c r="N592" s="2">
        <f>Employee_Data[[#This Row],[Basic Salary]]*10%</f>
        <v>858.75833333333344</v>
      </c>
      <c r="O592" s="4">
        <f>Employee_Data[[#This Row],[Basic Salary]]*7.5%</f>
        <v>644.06875000000002</v>
      </c>
      <c r="P592" s="2">
        <f>Employee_Data[[#This Row],[Basic Salary]]*3%</f>
        <v>257.6275</v>
      </c>
      <c r="Q592" s="2">
        <f>SUM(Employee_Data[[#This Row],[Basic Salary]],Employee_Data[[#This Row],[HRA]],Employee_Data[[#This Row],[MA]],Employee_Data[[#This Row],[TA]])</f>
        <v>10348.037916666668</v>
      </c>
      <c r="R592" s="4">
        <f>Employee_Data[[#This Row],[Basic Salary]]*12.5%</f>
        <v>1073.4479166666667</v>
      </c>
      <c r="S592" s="2">
        <f>Employee_Data[[#This Row],[Annual Salary]]/12</f>
        <v>8587.5833333333339</v>
      </c>
    </row>
    <row r="593" spans="1:19" x14ac:dyDescent="0.3">
      <c r="A593" t="s">
        <v>1264</v>
      </c>
      <c r="B593" t="s">
        <v>1265</v>
      </c>
      <c r="C593" t="s">
        <v>89</v>
      </c>
      <c r="D593" t="s">
        <v>4</v>
      </c>
      <c r="E593" t="s">
        <v>56</v>
      </c>
      <c r="F593" t="s">
        <v>42</v>
      </c>
      <c r="G593" t="s">
        <v>24</v>
      </c>
      <c r="H593">
        <v>55</v>
      </c>
      <c r="I593" s="1">
        <v>37191</v>
      </c>
      <c r="J593" s="2">
        <v>256592</v>
      </c>
      <c r="K593" s="3">
        <v>0.3</v>
      </c>
      <c r="L593" t="s">
        <v>37</v>
      </c>
      <c r="M593" t="s">
        <v>111</v>
      </c>
      <c r="N593" s="2">
        <f>Employee_Data[[#This Row],[Basic Salary]]*10%</f>
        <v>2138.2666666666669</v>
      </c>
      <c r="O593" s="4">
        <f>Employee_Data[[#This Row],[Basic Salary]]*7.5%</f>
        <v>1603.7</v>
      </c>
      <c r="P593" s="2">
        <f>Employee_Data[[#This Row],[Basic Salary]]*3%</f>
        <v>641.48</v>
      </c>
      <c r="Q593" s="2">
        <f>SUM(Employee_Data[[#This Row],[Basic Salary]],Employee_Data[[#This Row],[HRA]],Employee_Data[[#This Row],[MA]],Employee_Data[[#This Row],[TA]])</f>
        <v>25766.113333333335</v>
      </c>
      <c r="R593" s="4">
        <f>Employee_Data[[#This Row],[Basic Salary]]*12.5%</f>
        <v>2672.8333333333335</v>
      </c>
      <c r="S593" s="2">
        <f>Employee_Data[[#This Row],[Annual Salary]]/12</f>
        <v>21382.666666666668</v>
      </c>
    </row>
    <row r="594" spans="1:19" x14ac:dyDescent="0.3">
      <c r="A594" t="s">
        <v>1266</v>
      </c>
      <c r="B594" t="s">
        <v>1267</v>
      </c>
      <c r="C594" t="s">
        <v>408</v>
      </c>
      <c r="D594" t="s">
        <v>21</v>
      </c>
      <c r="E594" t="s">
        <v>56</v>
      </c>
      <c r="F594" t="s">
        <v>42</v>
      </c>
      <c r="G594" t="s">
        <v>66</v>
      </c>
      <c r="H594">
        <v>52</v>
      </c>
      <c r="I594" s="1">
        <v>42923</v>
      </c>
      <c r="J594" s="2">
        <v>79323</v>
      </c>
      <c r="K594" s="3">
        <v>0</v>
      </c>
      <c r="L594" t="s">
        <v>25</v>
      </c>
      <c r="M594" t="s">
        <v>32</v>
      </c>
      <c r="N594" s="2">
        <f>Employee_Data[[#This Row],[Basic Salary]]*10%</f>
        <v>661.02500000000009</v>
      </c>
      <c r="O594" s="4">
        <f>Employee_Data[[#This Row],[Basic Salary]]*7.5%</f>
        <v>495.76874999999995</v>
      </c>
      <c r="P594" s="2">
        <f>Employee_Data[[#This Row],[Basic Salary]]*3%</f>
        <v>198.3075</v>
      </c>
      <c r="Q594" s="2">
        <f>SUM(Employee_Data[[#This Row],[Basic Salary]],Employee_Data[[#This Row],[HRA]],Employee_Data[[#This Row],[MA]],Employee_Data[[#This Row],[TA]])</f>
        <v>7965.3512499999997</v>
      </c>
      <c r="R594" s="4">
        <f>Employee_Data[[#This Row],[Basic Salary]]*12.5%</f>
        <v>826.28125</v>
      </c>
      <c r="S594" s="2">
        <f>Employee_Data[[#This Row],[Annual Salary]]/12</f>
        <v>6610.25</v>
      </c>
    </row>
    <row r="595" spans="1:19" x14ac:dyDescent="0.3">
      <c r="A595" t="s">
        <v>1268</v>
      </c>
      <c r="B595" t="s">
        <v>1269</v>
      </c>
      <c r="C595" t="s">
        <v>408</v>
      </c>
      <c r="D595" t="s">
        <v>21</v>
      </c>
      <c r="E595" t="s">
        <v>36</v>
      </c>
      <c r="F595" t="s">
        <v>42</v>
      </c>
      <c r="G595" t="s">
        <v>43</v>
      </c>
      <c r="H595">
        <v>27</v>
      </c>
      <c r="I595" s="1">
        <v>44389</v>
      </c>
      <c r="J595" s="2">
        <v>75583</v>
      </c>
      <c r="K595" s="3">
        <v>0</v>
      </c>
      <c r="L595" t="s">
        <v>137</v>
      </c>
      <c r="M595" t="s">
        <v>289</v>
      </c>
      <c r="N595" s="2">
        <f>Employee_Data[[#This Row],[Basic Salary]]*10%</f>
        <v>629.85833333333335</v>
      </c>
      <c r="O595" s="4">
        <f>Employee_Data[[#This Row],[Basic Salary]]*7.5%</f>
        <v>472.39374999999995</v>
      </c>
      <c r="P595" s="2">
        <f>Employee_Data[[#This Row],[Basic Salary]]*3%</f>
        <v>188.95749999999998</v>
      </c>
      <c r="Q595" s="2">
        <f>SUM(Employee_Data[[#This Row],[Basic Salary]],Employee_Data[[#This Row],[HRA]],Employee_Data[[#This Row],[MA]],Employee_Data[[#This Row],[TA]])</f>
        <v>7589.7929166666672</v>
      </c>
      <c r="R595" s="4">
        <f>Employee_Data[[#This Row],[Basic Salary]]*12.5%</f>
        <v>787.32291666666663</v>
      </c>
      <c r="S595" s="2">
        <f>Employee_Data[[#This Row],[Annual Salary]]/12</f>
        <v>6298.583333333333</v>
      </c>
    </row>
    <row r="596" spans="1:19" x14ac:dyDescent="0.3">
      <c r="A596" t="s">
        <v>1270</v>
      </c>
      <c r="B596" t="s">
        <v>1271</v>
      </c>
      <c r="C596" t="s">
        <v>104</v>
      </c>
      <c r="D596" t="s">
        <v>30</v>
      </c>
      <c r="E596" t="s">
        <v>56</v>
      </c>
      <c r="F596" t="s">
        <v>42</v>
      </c>
      <c r="G596" t="s">
        <v>66</v>
      </c>
      <c r="H596">
        <v>36</v>
      </c>
      <c r="I596" s="1">
        <v>41160</v>
      </c>
      <c r="J596" s="2">
        <v>73646</v>
      </c>
      <c r="K596" s="3">
        <v>0</v>
      </c>
      <c r="L596" t="s">
        <v>25</v>
      </c>
      <c r="M596" t="s">
        <v>48</v>
      </c>
      <c r="N596" s="2">
        <f>Employee_Data[[#This Row],[Basic Salary]]*10%</f>
        <v>613.7166666666667</v>
      </c>
      <c r="O596" s="4">
        <f>Employee_Data[[#This Row],[Basic Salary]]*7.5%</f>
        <v>460.28750000000002</v>
      </c>
      <c r="P596" s="2">
        <f>Employee_Data[[#This Row],[Basic Salary]]*3%</f>
        <v>184.11500000000001</v>
      </c>
      <c r="Q596" s="2">
        <f>SUM(Employee_Data[[#This Row],[Basic Salary]],Employee_Data[[#This Row],[HRA]],Employee_Data[[#This Row],[MA]],Employee_Data[[#This Row],[TA]])</f>
        <v>7395.2858333333334</v>
      </c>
      <c r="R596" s="4">
        <f>Employee_Data[[#This Row],[Basic Salary]]*12.5%</f>
        <v>767.14583333333337</v>
      </c>
      <c r="S596" s="2">
        <f>Employee_Data[[#This Row],[Annual Salary]]/12</f>
        <v>6137.166666666667</v>
      </c>
    </row>
    <row r="597" spans="1:19" x14ac:dyDescent="0.3">
      <c r="A597" t="s">
        <v>1272</v>
      </c>
      <c r="B597" t="s">
        <v>1273</v>
      </c>
      <c r="C597" t="s">
        <v>227</v>
      </c>
      <c r="D597" t="s">
        <v>4</v>
      </c>
      <c r="E597" t="s">
        <v>56</v>
      </c>
      <c r="F597" t="s">
        <v>23</v>
      </c>
      <c r="G597" t="s">
        <v>66</v>
      </c>
      <c r="H597">
        <v>36</v>
      </c>
      <c r="I597" s="1">
        <v>44780</v>
      </c>
      <c r="J597" s="2">
        <v>64937</v>
      </c>
      <c r="K597" s="3">
        <v>0</v>
      </c>
      <c r="L597" t="s">
        <v>25</v>
      </c>
      <c r="M597" t="s">
        <v>70</v>
      </c>
      <c r="N597" s="2">
        <f>Employee_Data[[#This Row],[Basic Salary]]*10%</f>
        <v>541.14166666666677</v>
      </c>
      <c r="O597" s="4">
        <f>Employee_Data[[#This Row],[Basic Salary]]*7.5%</f>
        <v>405.85624999999999</v>
      </c>
      <c r="P597" s="2">
        <f>Employee_Data[[#This Row],[Basic Salary]]*3%</f>
        <v>162.3425</v>
      </c>
      <c r="Q597" s="2">
        <f>SUM(Employee_Data[[#This Row],[Basic Salary]],Employee_Data[[#This Row],[HRA]],Employee_Data[[#This Row],[MA]],Employee_Data[[#This Row],[TA]])</f>
        <v>6520.757083333333</v>
      </c>
      <c r="R597" s="4">
        <f>Employee_Data[[#This Row],[Basic Salary]]*12.5%</f>
        <v>676.42708333333337</v>
      </c>
      <c r="S597" s="2">
        <f>Employee_Data[[#This Row],[Annual Salary]]/12</f>
        <v>5411.416666666667</v>
      </c>
    </row>
    <row r="598" spans="1:19" x14ac:dyDescent="0.3">
      <c r="A598" t="s">
        <v>1274</v>
      </c>
      <c r="B598" t="s">
        <v>1275</v>
      </c>
      <c r="C598" t="s">
        <v>69</v>
      </c>
      <c r="D598" t="s">
        <v>30</v>
      </c>
      <c r="E598" t="s">
        <v>22</v>
      </c>
      <c r="F598" t="s">
        <v>23</v>
      </c>
      <c r="G598" t="s">
        <v>43</v>
      </c>
      <c r="H598">
        <v>42</v>
      </c>
      <c r="I598" s="1">
        <v>43627</v>
      </c>
      <c r="J598" s="2">
        <v>112146</v>
      </c>
      <c r="K598" s="3">
        <v>0.06</v>
      </c>
      <c r="L598" t="s">
        <v>25</v>
      </c>
      <c r="M598" t="s">
        <v>70</v>
      </c>
      <c r="N598" s="2">
        <f>Employee_Data[[#This Row],[Basic Salary]]*10%</f>
        <v>934.55000000000007</v>
      </c>
      <c r="O598" s="4">
        <f>Employee_Data[[#This Row],[Basic Salary]]*7.5%</f>
        <v>700.91250000000002</v>
      </c>
      <c r="P598" s="2">
        <f>Employee_Data[[#This Row],[Basic Salary]]*3%</f>
        <v>280.36500000000001</v>
      </c>
      <c r="Q598" s="2">
        <f>SUM(Employee_Data[[#This Row],[Basic Salary]],Employee_Data[[#This Row],[HRA]],Employee_Data[[#This Row],[MA]],Employee_Data[[#This Row],[TA]])</f>
        <v>11261.327499999999</v>
      </c>
      <c r="R598" s="4">
        <f>Employee_Data[[#This Row],[Basic Salary]]*12.5%</f>
        <v>1168.1875</v>
      </c>
      <c r="S598" s="2">
        <f>Employee_Data[[#This Row],[Annual Salary]]/12</f>
        <v>9345.5</v>
      </c>
    </row>
    <row r="599" spans="1:19" x14ac:dyDescent="0.3">
      <c r="A599" t="s">
        <v>1276</v>
      </c>
      <c r="B599" t="s">
        <v>1277</v>
      </c>
      <c r="C599" t="s">
        <v>54</v>
      </c>
      <c r="D599" t="s">
        <v>80</v>
      </c>
      <c r="E599" t="s">
        <v>36</v>
      </c>
      <c r="F599" t="s">
        <v>23</v>
      </c>
      <c r="G599" t="s">
        <v>66</v>
      </c>
      <c r="H599">
        <v>48</v>
      </c>
      <c r="I599" s="1">
        <v>43450</v>
      </c>
      <c r="J599" s="2">
        <v>83332</v>
      </c>
      <c r="K599" s="3">
        <v>0</v>
      </c>
      <c r="L599" t="s">
        <v>25</v>
      </c>
      <c r="M599" t="s">
        <v>48</v>
      </c>
      <c r="N599" s="2">
        <f>Employee_Data[[#This Row],[Basic Salary]]*10%</f>
        <v>694.43333333333339</v>
      </c>
      <c r="O599" s="4">
        <f>Employee_Data[[#This Row],[Basic Salary]]*7.5%</f>
        <v>520.82499999999993</v>
      </c>
      <c r="P599" s="2">
        <f>Employee_Data[[#This Row],[Basic Salary]]*3%</f>
        <v>208.32999999999998</v>
      </c>
      <c r="Q599" s="2">
        <f>SUM(Employee_Data[[#This Row],[Basic Salary]],Employee_Data[[#This Row],[HRA]],Employee_Data[[#This Row],[MA]],Employee_Data[[#This Row],[TA]])</f>
        <v>8367.9216666666671</v>
      </c>
      <c r="R599" s="4">
        <f>Employee_Data[[#This Row],[Basic Salary]]*12.5%</f>
        <v>868.04166666666663</v>
      </c>
      <c r="S599" s="2">
        <f>Employee_Data[[#This Row],[Annual Salary]]/12</f>
        <v>6944.333333333333</v>
      </c>
    </row>
    <row r="600" spans="1:19" x14ac:dyDescent="0.3">
      <c r="A600" t="s">
        <v>1278</v>
      </c>
      <c r="B600" t="s">
        <v>1279</v>
      </c>
      <c r="C600" t="s">
        <v>180</v>
      </c>
      <c r="D600" t="s">
        <v>4</v>
      </c>
      <c r="E600" t="s">
        <v>56</v>
      </c>
      <c r="F600" t="s">
        <v>42</v>
      </c>
      <c r="G600" t="s">
        <v>24</v>
      </c>
      <c r="H600">
        <v>42</v>
      </c>
      <c r="I600" s="1">
        <v>39549</v>
      </c>
      <c r="J600" s="2">
        <v>66248</v>
      </c>
      <c r="K600" s="3">
        <v>7.0000000000000007E-2</v>
      </c>
      <c r="L600" t="s">
        <v>37</v>
      </c>
      <c r="M600" t="s">
        <v>57</v>
      </c>
      <c r="N600" s="2">
        <f>Employee_Data[[#This Row],[Basic Salary]]*10%</f>
        <v>552.06666666666672</v>
      </c>
      <c r="O600" s="4">
        <f>Employee_Data[[#This Row],[Basic Salary]]*7.5%</f>
        <v>414.05</v>
      </c>
      <c r="P600" s="2">
        <f>Employee_Data[[#This Row],[Basic Salary]]*3%</f>
        <v>165.62</v>
      </c>
      <c r="Q600" s="2">
        <f>SUM(Employee_Data[[#This Row],[Basic Salary]],Employee_Data[[#This Row],[HRA]],Employee_Data[[#This Row],[MA]],Employee_Data[[#This Row],[TA]])</f>
        <v>6652.4033333333336</v>
      </c>
      <c r="R600" s="4">
        <f>Employee_Data[[#This Row],[Basic Salary]]*12.5%</f>
        <v>690.08333333333337</v>
      </c>
      <c r="S600" s="2">
        <f>Employee_Data[[#This Row],[Annual Salary]]/12</f>
        <v>5520.666666666667</v>
      </c>
    </row>
    <row r="601" spans="1:19" x14ac:dyDescent="0.3">
      <c r="A601" t="s">
        <v>1280</v>
      </c>
      <c r="B601" t="s">
        <v>1281</v>
      </c>
      <c r="C601" t="s">
        <v>83</v>
      </c>
      <c r="D601" t="s">
        <v>126</v>
      </c>
      <c r="E601" t="s">
        <v>36</v>
      </c>
      <c r="F601" t="s">
        <v>23</v>
      </c>
      <c r="G601" t="s">
        <v>24</v>
      </c>
      <c r="H601">
        <v>37</v>
      </c>
      <c r="I601" s="1">
        <v>43699</v>
      </c>
      <c r="J601" s="2">
        <v>127238</v>
      </c>
      <c r="K601" s="3">
        <v>0.15</v>
      </c>
      <c r="L601" t="s">
        <v>37</v>
      </c>
      <c r="M601" t="s">
        <v>38</v>
      </c>
      <c r="N601" s="2">
        <f>Employee_Data[[#This Row],[Basic Salary]]*10%</f>
        <v>1060.3166666666666</v>
      </c>
      <c r="O601" s="4">
        <f>Employee_Data[[#This Row],[Basic Salary]]*7.5%</f>
        <v>795.23749999999995</v>
      </c>
      <c r="P601" s="2">
        <f>Employee_Data[[#This Row],[Basic Salary]]*3%</f>
        <v>318.09499999999997</v>
      </c>
      <c r="Q601" s="2">
        <f>SUM(Employee_Data[[#This Row],[Basic Salary]],Employee_Data[[#This Row],[HRA]],Employee_Data[[#This Row],[MA]],Employee_Data[[#This Row],[TA]])</f>
        <v>12776.815833333332</v>
      </c>
      <c r="R601" s="4">
        <f>Employee_Data[[#This Row],[Basic Salary]]*12.5%</f>
        <v>1325.3958333333333</v>
      </c>
      <c r="S601" s="2">
        <f>Employee_Data[[#This Row],[Annual Salary]]/12</f>
        <v>10603.166666666666</v>
      </c>
    </row>
    <row r="602" spans="1:19" x14ac:dyDescent="0.3">
      <c r="A602" t="s">
        <v>1282</v>
      </c>
      <c r="B602" t="s">
        <v>1283</v>
      </c>
      <c r="C602" t="s">
        <v>380</v>
      </c>
      <c r="D602" t="s">
        <v>4</v>
      </c>
      <c r="E602" t="s">
        <v>56</v>
      </c>
      <c r="F602" t="s">
        <v>42</v>
      </c>
      <c r="G602" t="s">
        <v>24</v>
      </c>
      <c r="H602">
        <v>55</v>
      </c>
      <c r="I602" s="1">
        <v>41052</v>
      </c>
      <c r="J602" s="2">
        <v>87857</v>
      </c>
      <c r="K602" s="3">
        <v>0</v>
      </c>
      <c r="L602" t="s">
        <v>25</v>
      </c>
      <c r="M602" t="s">
        <v>48</v>
      </c>
      <c r="N602" s="2">
        <f>Employee_Data[[#This Row],[Basic Salary]]*10%</f>
        <v>732.14166666666677</v>
      </c>
      <c r="O602" s="4">
        <f>Employee_Data[[#This Row],[Basic Salary]]*7.5%</f>
        <v>549.10625000000005</v>
      </c>
      <c r="P602" s="2">
        <f>Employee_Data[[#This Row],[Basic Salary]]*3%</f>
        <v>219.64250000000001</v>
      </c>
      <c r="Q602" s="2">
        <f>SUM(Employee_Data[[#This Row],[Basic Salary]],Employee_Data[[#This Row],[HRA]],Employee_Data[[#This Row],[MA]],Employee_Data[[#This Row],[TA]])</f>
        <v>8822.3070833333331</v>
      </c>
      <c r="R602" s="4">
        <f>Employee_Data[[#This Row],[Basic Salary]]*12.5%</f>
        <v>915.17708333333337</v>
      </c>
      <c r="S602" s="2">
        <f>Employee_Data[[#This Row],[Annual Salary]]/12</f>
        <v>7321.416666666667</v>
      </c>
    </row>
    <row r="603" spans="1:19" x14ac:dyDescent="0.3">
      <c r="A603" t="s">
        <v>1284</v>
      </c>
      <c r="B603" t="s">
        <v>1285</v>
      </c>
      <c r="C603" t="s">
        <v>247</v>
      </c>
      <c r="D603" t="s">
        <v>126</v>
      </c>
      <c r="E603" t="s">
        <v>56</v>
      </c>
      <c r="F603" t="s">
        <v>42</v>
      </c>
      <c r="G603" t="s">
        <v>24</v>
      </c>
      <c r="H603">
        <v>62</v>
      </c>
      <c r="I603" s="1">
        <v>36392</v>
      </c>
      <c r="J603" s="2">
        <v>51454</v>
      </c>
      <c r="K603" s="3">
        <v>0</v>
      </c>
      <c r="L603" t="s">
        <v>25</v>
      </c>
      <c r="M603" t="s">
        <v>44</v>
      </c>
      <c r="N603" s="2">
        <f>Employee_Data[[#This Row],[Basic Salary]]*10%</f>
        <v>428.7833333333333</v>
      </c>
      <c r="O603" s="4">
        <f>Employee_Data[[#This Row],[Basic Salary]]*7.5%</f>
        <v>321.58749999999998</v>
      </c>
      <c r="P603" s="2">
        <f>Employee_Data[[#This Row],[Basic Salary]]*3%</f>
        <v>128.63499999999999</v>
      </c>
      <c r="Q603" s="2">
        <f>SUM(Employee_Data[[#This Row],[Basic Salary]],Employee_Data[[#This Row],[HRA]],Employee_Data[[#This Row],[MA]],Employee_Data[[#This Row],[TA]])</f>
        <v>5166.8391666666666</v>
      </c>
      <c r="R603" s="4">
        <f>Employee_Data[[#This Row],[Basic Salary]]*12.5%</f>
        <v>535.97916666666663</v>
      </c>
      <c r="S603" s="2">
        <f>Employee_Data[[#This Row],[Annual Salary]]/12</f>
        <v>4287.833333333333</v>
      </c>
    </row>
    <row r="604" spans="1:19" x14ac:dyDescent="0.3">
      <c r="A604" t="s">
        <v>1286</v>
      </c>
      <c r="B604" t="s">
        <v>1287</v>
      </c>
      <c r="C604" t="s">
        <v>83</v>
      </c>
      <c r="D604" t="s">
        <v>55</v>
      </c>
      <c r="E604" t="s">
        <v>56</v>
      </c>
      <c r="F604" t="s">
        <v>42</v>
      </c>
      <c r="G604" t="s">
        <v>43</v>
      </c>
      <c r="H604">
        <v>29</v>
      </c>
      <c r="I604" s="1">
        <v>44087</v>
      </c>
      <c r="J604" s="2">
        <v>128066</v>
      </c>
      <c r="K604" s="3">
        <v>0.11</v>
      </c>
      <c r="L604" t="s">
        <v>25</v>
      </c>
      <c r="M604" t="s">
        <v>44</v>
      </c>
      <c r="N604" s="2">
        <f>Employee_Data[[#This Row],[Basic Salary]]*10%</f>
        <v>1067.2166666666667</v>
      </c>
      <c r="O604" s="4">
        <f>Employee_Data[[#This Row],[Basic Salary]]*7.5%</f>
        <v>800.41249999999991</v>
      </c>
      <c r="P604" s="2">
        <f>Employee_Data[[#This Row],[Basic Salary]]*3%</f>
        <v>320.16499999999996</v>
      </c>
      <c r="Q604" s="2">
        <f>SUM(Employee_Data[[#This Row],[Basic Salary]],Employee_Data[[#This Row],[HRA]],Employee_Data[[#This Row],[MA]],Employee_Data[[#This Row],[TA]])</f>
        <v>12859.960833333334</v>
      </c>
      <c r="R604" s="4">
        <f>Employee_Data[[#This Row],[Basic Salary]]*12.5%</f>
        <v>1334.0208333333333</v>
      </c>
      <c r="S604" s="2">
        <f>Employee_Data[[#This Row],[Annual Salary]]/12</f>
        <v>10672.166666666666</v>
      </c>
    </row>
    <row r="605" spans="1:19" x14ac:dyDescent="0.3">
      <c r="A605" t="s">
        <v>1288</v>
      </c>
      <c r="B605" t="s">
        <v>1289</v>
      </c>
      <c r="C605" t="s">
        <v>83</v>
      </c>
      <c r="D605" t="s">
        <v>126</v>
      </c>
      <c r="E605" t="s">
        <v>31</v>
      </c>
      <c r="F605" t="s">
        <v>42</v>
      </c>
      <c r="G605" t="s">
        <v>43</v>
      </c>
      <c r="H605">
        <v>29</v>
      </c>
      <c r="I605" s="1">
        <v>43371</v>
      </c>
      <c r="J605" s="2">
        <v>130790</v>
      </c>
      <c r="K605" s="3">
        <v>0.1</v>
      </c>
      <c r="L605" t="s">
        <v>137</v>
      </c>
      <c r="M605" t="s">
        <v>138</v>
      </c>
      <c r="N605" s="2">
        <f>Employee_Data[[#This Row],[Basic Salary]]*10%</f>
        <v>1089.9166666666667</v>
      </c>
      <c r="O605" s="4">
        <f>Employee_Data[[#This Row],[Basic Salary]]*7.5%</f>
        <v>817.43749999999989</v>
      </c>
      <c r="P605" s="2">
        <f>Employee_Data[[#This Row],[Basic Salary]]*3%</f>
        <v>326.97499999999997</v>
      </c>
      <c r="Q605" s="2">
        <f>SUM(Employee_Data[[#This Row],[Basic Salary]],Employee_Data[[#This Row],[HRA]],Employee_Data[[#This Row],[MA]],Employee_Data[[#This Row],[TA]])</f>
        <v>13133.495833333332</v>
      </c>
      <c r="R605" s="4">
        <f>Employee_Data[[#This Row],[Basic Salary]]*12.5%</f>
        <v>1362.3958333333333</v>
      </c>
      <c r="S605" s="2">
        <f>Employee_Data[[#This Row],[Annual Salary]]/12</f>
        <v>10899.166666666666</v>
      </c>
    </row>
    <row r="606" spans="1:19" x14ac:dyDescent="0.3">
      <c r="A606" t="s">
        <v>1290</v>
      </c>
      <c r="B606" t="s">
        <v>1291</v>
      </c>
      <c r="C606" t="s">
        <v>89</v>
      </c>
      <c r="D606" t="s">
        <v>126</v>
      </c>
      <c r="E606" t="s">
        <v>22</v>
      </c>
      <c r="F606" t="s">
        <v>42</v>
      </c>
      <c r="G606" t="s">
        <v>43</v>
      </c>
      <c r="H606">
        <v>45</v>
      </c>
      <c r="I606" s="1">
        <v>38124</v>
      </c>
      <c r="J606" s="2">
        <v>233342</v>
      </c>
      <c r="K606" s="3">
        <v>0.37</v>
      </c>
      <c r="L606" t="s">
        <v>25</v>
      </c>
      <c r="M606" t="s">
        <v>48</v>
      </c>
      <c r="N606" s="2">
        <f>Employee_Data[[#This Row],[Basic Salary]]*10%</f>
        <v>1944.5166666666669</v>
      </c>
      <c r="O606" s="4">
        <f>Employee_Data[[#This Row],[Basic Salary]]*7.5%</f>
        <v>1458.3875</v>
      </c>
      <c r="P606" s="2">
        <f>Employee_Data[[#This Row],[Basic Salary]]*3%</f>
        <v>583.35500000000002</v>
      </c>
      <c r="Q606" s="2">
        <f>SUM(Employee_Data[[#This Row],[Basic Salary]],Employee_Data[[#This Row],[HRA]],Employee_Data[[#This Row],[MA]],Employee_Data[[#This Row],[TA]])</f>
        <v>23431.425833333335</v>
      </c>
      <c r="R606" s="4">
        <f>Employee_Data[[#This Row],[Basic Salary]]*12.5%</f>
        <v>2430.6458333333335</v>
      </c>
      <c r="S606" s="2">
        <f>Employee_Data[[#This Row],[Annual Salary]]/12</f>
        <v>19445.166666666668</v>
      </c>
    </row>
    <row r="607" spans="1:19" x14ac:dyDescent="0.3">
      <c r="A607" t="s">
        <v>1292</v>
      </c>
      <c r="B607" t="s">
        <v>1293</v>
      </c>
      <c r="C607" t="s">
        <v>29</v>
      </c>
      <c r="D607" t="s">
        <v>80</v>
      </c>
      <c r="E607" t="s">
        <v>22</v>
      </c>
      <c r="F607" t="s">
        <v>23</v>
      </c>
      <c r="G607" t="s">
        <v>66</v>
      </c>
      <c r="H607">
        <v>57</v>
      </c>
      <c r="I607" s="1">
        <v>40090</v>
      </c>
      <c r="J607" s="2">
        <v>54155</v>
      </c>
      <c r="K607" s="3">
        <v>0</v>
      </c>
      <c r="L607" t="s">
        <v>25</v>
      </c>
      <c r="M607" t="s">
        <v>48</v>
      </c>
      <c r="N607" s="2">
        <f>Employee_Data[[#This Row],[Basic Salary]]*10%</f>
        <v>451.29166666666674</v>
      </c>
      <c r="O607" s="4">
        <f>Employee_Data[[#This Row],[Basic Salary]]*7.5%</f>
        <v>338.46875</v>
      </c>
      <c r="P607" s="2">
        <f>Employee_Data[[#This Row],[Basic Salary]]*3%</f>
        <v>135.38750000000002</v>
      </c>
      <c r="Q607" s="2">
        <f>SUM(Employee_Data[[#This Row],[Basic Salary]],Employee_Data[[#This Row],[HRA]],Employee_Data[[#This Row],[MA]],Employee_Data[[#This Row],[TA]])</f>
        <v>5438.0645833333338</v>
      </c>
      <c r="R607" s="4">
        <f>Employee_Data[[#This Row],[Basic Salary]]*12.5%</f>
        <v>564.11458333333337</v>
      </c>
      <c r="S607" s="2">
        <f>Employee_Data[[#This Row],[Annual Salary]]/12</f>
        <v>4512.916666666667</v>
      </c>
    </row>
    <row r="608" spans="1:19" x14ac:dyDescent="0.3">
      <c r="A608" t="s">
        <v>1294</v>
      </c>
      <c r="B608" t="s">
        <v>1295</v>
      </c>
      <c r="C608" t="s">
        <v>89</v>
      </c>
      <c r="D608" t="s">
        <v>80</v>
      </c>
      <c r="E608" t="s">
        <v>22</v>
      </c>
      <c r="F608" t="s">
        <v>23</v>
      </c>
      <c r="G608" t="s">
        <v>24</v>
      </c>
      <c r="H608">
        <v>31</v>
      </c>
      <c r="I608" s="1">
        <v>43714</v>
      </c>
      <c r="J608" s="2">
        <v>189403</v>
      </c>
      <c r="K608" s="3">
        <v>0.36</v>
      </c>
      <c r="L608" t="s">
        <v>37</v>
      </c>
      <c r="M608" t="s">
        <v>38</v>
      </c>
      <c r="N608" s="2">
        <f>Employee_Data[[#This Row],[Basic Salary]]*10%</f>
        <v>1578.3583333333336</v>
      </c>
      <c r="O608" s="4">
        <f>Employee_Data[[#This Row],[Basic Salary]]*7.5%</f>
        <v>1183.76875</v>
      </c>
      <c r="P608" s="2">
        <f>Employee_Data[[#This Row],[Basic Salary]]*3%</f>
        <v>473.50749999999999</v>
      </c>
      <c r="Q608" s="2">
        <f>SUM(Employee_Data[[#This Row],[Basic Salary]],Employee_Data[[#This Row],[HRA]],Employee_Data[[#This Row],[MA]],Employee_Data[[#This Row],[TA]])</f>
        <v>19019.217916666665</v>
      </c>
      <c r="R608" s="4">
        <f>Employee_Data[[#This Row],[Basic Salary]]*12.5%</f>
        <v>1972.9479166666667</v>
      </c>
      <c r="S608" s="2">
        <f>Employee_Data[[#This Row],[Annual Salary]]/12</f>
        <v>15783.583333333334</v>
      </c>
    </row>
    <row r="609" spans="1:19" x14ac:dyDescent="0.3">
      <c r="A609" t="s">
        <v>1296</v>
      </c>
      <c r="B609" t="s">
        <v>1297</v>
      </c>
      <c r="C609" t="s">
        <v>54</v>
      </c>
      <c r="D609" t="s">
        <v>55</v>
      </c>
      <c r="E609" t="s">
        <v>22</v>
      </c>
      <c r="F609" t="s">
        <v>42</v>
      </c>
      <c r="G609" t="s">
        <v>24</v>
      </c>
      <c r="H609">
        <v>31</v>
      </c>
      <c r="I609" s="1">
        <v>43238</v>
      </c>
      <c r="J609" s="2">
        <v>78732</v>
      </c>
      <c r="K609" s="3">
        <v>0</v>
      </c>
      <c r="L609" t="s">
        <v>37</v>
      </c>
      <c r="M609" t="s">
        <v>38</v>
      </c>
      <c r="N609" s="2">
        <f>Employee_Data[[#This Row],[Basic Salary]]*10%</f>
        <v>656.1</v>
      </c>
      <c r="O609" s="4">
        <f>Employee_Data[[#This Row],[Basic Salary]]*7.5%</f>
        <v>492.07499999999999</v>
      </c>
      <c r="P609" s="2">
        <f>Employee_Data[[#This Row],[Basic Salary]]*3%</f>
        <v>196.82999999999998</v>
      </c>
      <c r="Q609" s="2">
        <f>SUM(Employee_Data[[#This Row],[Basic Salary]],Employee_Data[[#This Row],[HRA]],Employee_Data[[#This Row],[MA]],Employee_Data[[#This Row],[TA]])</f>
        <v>7906.0050000000001</v>
      </c>
      <c r="R609" s="4">
        <f>Employee_Data[[#This Row],[Basic Salary]]*12.5%</f>
        <v>820.125</v>
      </c>
      <c r="S609" s="2">
        <f>Employee_Data[[#This Row],[Annual Salary]]/12</f>
        <v>6561</v>
      </c>
    </row>
    <row r="610" spans="1:19" x14ac:dyDescent="0.3">
      <c r="A610" t="s">
        <v>1298</v>
      </c>
      <c r="B610" t="s">
        <v>1299</v>
      </c>
      <c r="C610" t="s">
        <v>29</v>
      </c>
      <c r="D610" t="s">
        <v>55</v>
      </c>
      <c r="E610" t="s">
        <v>22</v>
      </c>
      <c r="F610" t="s">
        <v>23</v>
      </c>
      <c r="G610" t="s">
        <v>66</v>
      </c>
      <c r="H610">
        <v>47</v>
      </c>
      <c r="I610" s="1">
        <v>42122</v>
      </c>
      <c r="J610" s="2">
        <v>55401</v>
      </c>
      <c r="K610" s="3">
        <v>0</v>
      </c>
      <c r="L610" t="s">
        <v>25</v>
      </c>
      <c r="M610" t="s">
        <v>26</v>
      </c>
      <c r="N610" s="2">
        <f>Employee_Data[[#This Row],[Basic Salary]]*10%</f>
        <v>461.67500000000001</v>
      </c>
      <c r="O610" s="4">
        <f>Employee_Data[[#This Row],[Basic Salary]]*7.5%</f>
        <v>346.25624999999997</v>
      </c>
      <c r="P610" s="2">
        <f>Employee_Data[[#This Row],[Basic Salary]]*3%</f>
        <v>138.5025</v>
      </c>
      <c r="Q610" s="2">
        <f>SUM(Employee_Data[[#This Row],[Basic Salary]],Employee_Data[[#This Row],[HRA]],Employee_Data[[#This Row],[MA]],Employee_Data[[#This Row],[TA]])</f>
        <v>5563.1837500000001</v>
      </c>
      <c r="R610" s="4">
        <f>Employee_Data[[#This Row],[Basic Salary]]*12.5%</f>
        <v>577.09375</v>
      </c>
      <c r="S610" s="2">
        <f>Employee_Data[[#This Row],[Annual Salary]]/12</f>
        <v>4616.75</v>
      </c>
    </row>
    <row r="611" spans="1:19" x14ac:dyDescent="0.3">
      <c r="A611" t="s">
        <v>1300</v>
      </c>
      <c r="B611" t="s">
        <v>1301</v>
      </c>
      <c r="C611" t="s">
        <v>65</v>
      </c>
      <c r="D611" t="s">
        <v>4</v>
      </c>
      <c r="E611" t="s">
        <v>22</v>
      </c>
      <c r="F611" t="s">
        <v>23</v>
      </c>
      <c r="G611" t="s">
        <v>43</v>
      </c>
      <c r="H611">
        <v>60</v>
      </c>
      <c r="I611" s="1">
        <v>38910</v>
      </c>
      <c r="J611" s="2">
        <v>82343</v>
      </c>
      <c r="K611" s="3">
        <v>0</v>
      </c>
      <c r="L611" t="s">
        <v>25</v>
      </c>
      <c r="M611" t="s">
        <v>48</v>
      </c>
      <c r="N611" s="2">
        <f>Employee_Data[[#This Row],[Basic Salary]]*10%</f>
        <v>686.19166666666672</v>
      </c>
      <c r="O611" s="4">
        <f>Employee_Data[[#This Row],[Basic Salary]]*7.5%</f>
        <v>514.64374999999995</v>
      </c>
      <c r="P611" s="2">
        <f>Employee_Data[[#This Row],[Basic Salary]]*3%</f>
        <v>205.85749999999999</v>
      </c>
      <c r="Q611" s="2">
        <f>SUM(Employee_Data[[#This Row],[Basic Salary]],Employee_Data[[#This Row],[HRA]],Employee_Data[[#This Row],[MA]],Employee_Data[[#This Row],[TA]])</f>
        <v>8268.6095833333329</v>
      </c>
      <c r="R611" s="4">
        <f>Employee_Data[[#This Row],[Basic Salary]]*12.5%</f>
        <v>857.73958333333337</v>
      </c>
      <c r="S611" s="2">
        <f>Employee_Data[[#This Row],[Annual Salary]]/12</f>
        <v>6861.916666666667</v>
      </c>
    </row>
    <row r="612" spans="1:19" x14ac:dyDescent="0.3">
      <c r="A612" t="s">
        <v>1302</v>
      </c>
      <c r="B612" t="s">
        <v>1303</v>
      </c>
      <c r="C612" t="s">
        <v>413</v>
      </c>
      <c r="D612" t="s">
        <v>21</v>
      </c>
      <c r="E612" t="s">
        <v>36</v>
      </c>
      <c r="F612" t="s">
        <v>23</v>
      </c>
      <c r="G612" t="s">
        <v>43</v>
      </c>
      <c r="H612">
        <v>42</v>
      </c>
      <c r="I612" s="1">
        <v>42810</v>
      </c>
      <c r="J612" s="2">
        <v>66226</v>
      </c>
      <c r="K612" s="3">
        <v>0</v>
      </c>
      <c r="L612" t="s">
        <v>137</v>
      </c>
      <c r="M612" t="s">
        <v>183</v>
      </c>
      <c r="N612" s="2">
        <f>Employee_Data[[#This Row],[Basic Salary]]*10%</f>
        <v>551.88333333333333</v>
      </c>
      <c r="O612" s="4">
        <f>Employee_Data[[#This Row],[Basic Salary]]*7.5%</f>
        <v>413.91249999999997</v>
      </c>
      <c r="P612" s="2">
        <f>Employee_Data[[#This Row],[Basic Salary]]*3%</f>
        <v>165.565</v>
      </c>
      <c r="Q612" s="2">
        <f>SUM(Employee_Data[[#This Row],[Basic Salary]],Employee_Data[[#This Row],[HRA]],Employee_Data[[#This Row],[MA]],Employee_Data[[#This Row],[TA]])</f>
        <v>6650.1941666666662</v>
      </c>
      <c r="R612" s="4">
        <f>Employee_Data[[#This Row],[Basic Salary]]*12.5%</f>
        <v>689.85416666666663</v>
      </c>
      <c r="S612" s="2">
        <f>Employee_Data[[#This Row],[Annual Salary]]/12</f>
        <v>5518.833333333333</v>
      </c>
    </row>
    <row r="613" spans="1:19" x14ac:dyDescent="0.3">
      <c r="A613" t="s">
        <v>1304</v>
      </c>
      <c r="B613" t="s">
        <v>1305</v>
      </c>
      <c r="C613" t="s">
        <v>89</v>
      </c>
      <c r="D613" t="s">
        <v>4</v>
      </c>
      <c r="E613" t="s">
        <v>22</v>
      </c>
      <c r="F613" t="s">
        <v>42</v>
      </c>
      <c r="G613" t="s">
        <v>24</v>
      </c>
      <c r="H613">
        <v>26</v>
      </c>
      <c r="I613" s="1">
        <v>44533</v>
      </c>
      <c r="J613" s="2">
        <v>193435</v>
      </c>
      <c r="K613" s="3">
        <v>0.31</v>
      </c>
      <c r="L613" t="s">
        <v>25</v>
      </c>
      <c r="M613" t="s">
        <v>32</v>
      </c>
      <c r="N613" s="2">
        <f>Employee_Data[[#This Row],[Basic Salary]]*10%</f>
        <v>1611.9583333333335</v>
      </c>
      <c r="O613" s="4">
        <f>Employee_Data[[#This Row],[Basic Salary]]*7.5%</f>
        <v>1208.96875</v>
      </c>
      <c r="P613" s="2">
        <f>Employee_Data[[#This Row],[Basic Salary]]*3%</f>
        <v>483.58749999999998</v>
      </c>
      <c r="Q613" s="2">
        <f>SUM(Employee_Data[[#This Row],[Basic Salary]],Employee_Data[[#This Row],[HRA]],Employee_Data[[#This Row],[MA]],Employee_Data[[#This Row],[TA]])</f>
        <v>19424.097916666669</v>
      </c>
      <c r="R613" s="4">
        <f>Employee_Data[[#This Row],[Basic Salary]]*12.5%</f>
        <v>2014.9479166666667</v>
      </c>
      <c r="S613" s="2">
        <f>Employee_Data[[#This Row],[Annual Salary]]/12</f>
        <v>16119.583333333334</v>
      </c>
    </row>
    <row r="614" spans="1:19" x14ac:dyDescent="0.3">
      <c r="A614" t="s">
        <v>1306</v>
      </c>
      <c r="B614" t="s">
        <v>1307</v>
      </c>
      <c r="C614" t="s">
        <v>69</v>
      </c>
      <c r="D614" t="s">
        <v>61</v>
      </c>
      <c r="E614" t="s">
        <v>31</v>
      </c>
      <c r="F614" t="s">
        <v>23</v>
      </c>
      <c r="G614" t="s">
        <v>66</v>
      </c>
      <c r="H614">
        <v>57</v>
      </c>
      <c r="I614" s="1">
        <v>40651</v>
      </c>
      <c r="J614" s="2">
        <v>114241</v>
      </c>
      <c r="K614" s="3">
        <v>0.1</v>
      </c>
      <c r="L614" t="s">
        <v>25</v>
      </c>
      <c r="M614" t="s">
        <v>70</v>
      </c>
      <c r="N614" s="2">
        <f>Employee_Data[[#This Row],[Basic Salary]]*10%</f>
        <v>952.00833333333344</v>
      </c>
      <c r="O614" s="4">
        <f>Employee_Data[[#This Row],[Basic Salary]]*7.5%</f>
        <v>714.00625000000002</v>
      </c>
      <c r="P614" s="2">
        <f>Employee_Data[[#This Row],[Basic Salary]]*3%</f>
        <v>285.60250000000002</v>
      </c>
      <c r="Q614" s="2">
        <f>SUM(Employee_Data[[#This Row],[Basic Salary]],Employee_Data[[#This Row],[HRA]],Employee_Data[[#This Row],[MA]],Employee_Data[[#This Row],[TA]])</f>
        <v>11471.700416666668</v>
      </c>
      <c r="R614" s="4">
        <f>Employee_Data[[#This Row],[Basic Salary]]*12.5%</f>
        <v>1190.0104166666667</v>
      </c>
      <c r="S614" s="2">
        <f>Employee_Data[[#This Row],[Annual Salary]]/12</f>
        <v>9520.0833333333339</v>
      </c>
    </row>
    <row r="615" spans="1:19" x14ac:dyDescent="0.3">
      <c r="A615" t="s">
        <v>1308</v>
      </c>
      <c r="B615" t="s">
        <v>1309</v>
      </c>
      <c r="C615" t="s">
        <v>47</v>
      </c>
      <c r="D615" t="s">
        <v>21</v>
      </c>
      <c r="E615" t="s">
        <v>36</v>
      </c>
      <c r="F615" t="s">
        <v>42</v>
      </c>
      <c r="G615" t="s">
        <v>43</v>
      </c>
      <c r="H615">
        <v>25</v>
      </c>
      <c r="I615" s="1">
        <v>44876</v>
      </c>
      <c r="J615" s="2">
        <v>177264</v>
      </c>
      <c r="K615" s="3">
        <v>0.16</v>
      </c>
      <c r="L615" t="s">
        <v>137</v>
      </c>
      <c r="M615" t="s">
        <v>289</v>
      </c>
      <c r="N615" s="2">
        <f>Employee_Data[[#This Row],[Basic Salary]]*10%</f>
        <v>1477.2</v>
      </c>
      <c r="O615" s="4">
        <f>Employee_Data[[#This Row],[Basic Salary]]*7.5%</f>
        <v>1107.8999999999999</v>
      </c>
      <c r="P615" s="2">
        <f>Employee_Data[[#This Row],[Basic Salary]]*3%</f>
        <v>443.15999999999997</v>
      </c>
      <c r="Q615" s="2">
        <f>SUM(Employee_Data[[#This Row],[Basic Salary]],Employee_Data[[#This Row],[HRA]],Employee_Data[[#This Row],[MA]],Employee_Data[[#This Row],[TA]])</f>
        <v>17800.260000000002</v>
      </c>
      <c r="R615" s="4">
        <f>Employee_Data[[#This Row],[Basic Salary]]*12.5%</f>
        <v>1846.5</v>
      </c>
      <c r="S615" s="2">
        <f>Employee_Data[[#This Row],[Annual Salary]]/12</f>
        <v>14772</v>
      </c>
    </row>
    <row r="616" spans="1:19" x14ac:dyDescent="0.3">
      <c r="A616" t="s">
        <v>1310</v>
      </c>
      <c r="B616" t="s">
        <v>1311</v>
      </c>
      <c r="C616" t="s">
        <v>131</v>
      </c>
      <c r="D616" t="s">
        <v>126</v>
      </c>
      <c r="E616" t="s">
        <v>31</v>
      </c>
      <c r="F616" t="s">
        <v>23</v>
      </c>
      <c r="G616" t="s">
        <v>24</v>
      </c>
      <c r="H616">
        <v>53</v>
      </c>
      <c r="I616" s="1">
        <v>42472</v>
      </c>
      <c r="J616" s="2">
        <v>58010</v>
      </c>
      <c r="K616" s="3">
        <v>0</v>
      </c>
      <c r="L616" t="s">
        <v>25</v>
      </c>
      <c r="M616" t="s">
        <v>44</v>
      </c>
      <c r="N616" s="2">
        <f>Employee_Data[[#This Row],[Basic Salary]]*10%</f>
        <v>483.41666666666674</v>
      </c>
      <c r="O616" s="4">
        <f>Employee_Data[[#This Row],[Basic Salary]]*7.5%</f>
        <v>362.5625</v>
      </c>
      <c r="P616" s="2">
        <f>Employee_Data[[#This Row],[Basic Salary]]*3%</f>
        <v>145.02500000000001</v>
      </c>
      <c r="Q616" s="2">
        <f>SUM(Employee_Data[[#This Row],[Basic Salary]],Employee_Data[[#This Row],[HRA]],Employee_Data[[#This Row],[MA]],Employee_Data[[#This Row],[TA]])</f>
        <v>5825.1708333333336</v>
      </c>
      <c r="R616" s="4">
        <f>Employee_Data[[#This Row],[Basic Salary]]*12.5%</f>
        <v>604.27083333333337</v>
      </c>
      <c r="S616" s="2">
        <f>Employee_Data[[#This Row],[Annual Salary]]/12</f>
        <v>4834.166666666667</v>
      </c>
    </row>
    <row r="617" spans="1:19" x14ac:dyDescent="0.3">
      <c r="A617" t="s">
        <v>1312</v>
      </c>
      <c r="B617" t="s">
        <v>1313</v>
      </c>
      <c r="C617" t="s">
        <v>47</v>
      </c>
      <c r="D617" t="s">
        <v>4</v>
      </c>
      <c r="E617" t="s">
        <v>56</v>
      </c>
      <c r="F617" t="s">
        <v>23</v>
      </c>
      <c r="G617" t="s">
        <v>84</v>
      </c>
      <c r="H617">
        <v>43</v>
      </c>
      <c r="I617" s="1">
        <v>37695</v>
      </c>
      <c r="J617" s="2">
        <v>154284</v>
      </c>
      <c r="K617" s="3">
        <v>0.25</v>
      </c>
      <c r="L617" t="s">
        <v>25</v>
      </c>
      <c r="M617" t="s">
        <v>32</v>
      </c>
      <c r="N617" s="2">
        <f>Employee_Data[[#This Row],[Basic Salary]]*10%</f>
        <v>1285.7</v>
      </c>
      <c r="O617" s="4">
        <f>Employee_Data[[#This Row],[Basic Salary]]*7.5%</f>
        <v>964.27499999999998</v>
      </c>
      <c r="P617" s="2">
        <f>Employee_Data[[#This Row],[Basic Salary]]*3%</f>
        <v>385.71</v>
      </c>
      <c r="Q617" s="2">
        <f>SUM(Employee_Data[[#This Row],[Basic Salary]],Employee_Data[[#This Row],[HRA]],Employee_Data[[#This Row],[MA]],Employee_Data[[#This Row],[TA]])</f>
        <v>15492.684999999999</v>
      </c>
      <c r="R617" s="4">
        <f>Employee_Data[[#This Row],[Basic Salary]]*12.5%</f>
        <v>1607.125</v>
      </c>
      <c r="S617" s="2">
        <f>Employee_Data[[#This Row],[Annual Salary]]/12</f>
        <v>12857</v>
      </c>
    </row>
    <row r="618" spans="1:19" x14ac:dyDescent="0.3">
      <c r="A618" t="s">
        <v>1314</v>
      </c>
      <c r="B618" t="s">
        <v>1315</v>
      </c>
      <c r="C618" t="s">
        <v>29</v>
      </c>
      <c r="D618" t="s">
        <v>55</v>
      </c>
      <c r="E618" t="s">
        <v>31</v>
      </c>
      <c r="F618" t="s">
        <v>42</v>
      </c>
      <c r="G618" t="s">
        <v>66</v>
      </c>
      <c r="H618">
        <v>49</v>
      </c>
      <c r="I618" s="1">
        <v>37305</v>
      </c>
      <c r="J618" s="2">
        <v>54633</v>
      </c>
      <c r="K618" s="3">
        <v>0</v>
      </c>
      <c r="L618" t="s">
        <v>25</v>
      </c>
      <c r="M618" t="s">
        <v>32</v>
      </c>
      <c r="N618" s="2">
        <f>Employee_Data[[#This Row],[Basic Salary]]*10%</f>
        <v>455.27500000000003</v>
      </c>
      <c r="O618" s="4">
        <f>Employee_Data[[#This Row],[Basic Salary]]*7.5%</f>
        <v>341.45625000000001</v>
      </c>
      <c r="P618" s="2">
        <f>Employee_Data[[#This Row],[Basic Salary]]*3%</f>
        <v>136.58249999999998</v>
      </c>
      <c r="Q618" s="2">
        <f>SUM(Employee_Data[[#This Row],[Basic Salary]],Employee_Data[[#This Row],[HRA]],Employee_Data[[#This Row],[MA]],Employee_Data[[#This Row],[TA]])</f>
        <v>5486.0637499999993</v>
      </c>
      <c r="R618" s="4">
        <f>Employee_Data[[#This Row],[Basic Salary]]*12.5%</f>
        <v>569.09375</v>
      </c>
      <c r="S618" s="2">
        <f>Employee_Data[[#This Row],[Annual Salary]]/12</f>
        <v>4552.75</v>
      </c>
    </row>
    <row r="619" spans="1:19" x14ac:dyDescent="0.3">
      <c r="A619" t="s">
        <v>1316</v>
      </c>
      <c r="B619" t="s">
        <v>1317</v>
      </c>
      <c r="C619" t="s">
        <v>131</v>
      </c>
      <c r="D619" t="s">
        <v>126</v>
      </c>
      <c r="E619" t="s">
        <v>36</v>
      </c>
      <c r="F619" t="s">
        <v>42</v>
      </c>
      <c r="G619" t="s">
        <v>24</v>
      </c>
      <c r="H619">
        <v>61</v>
      </c>
      <c r="I619" s="1">
        <v>35303</v>
      </c>
      <c r="J619" s="2">
        <v>42829</v>
      </c>
      <c r="K619" s="3">
        <v>0</v>
      </c>
      <c r="L619" t="s">
        <v>25</v>
      </c>
      <c r="M619" t="s">
        <v>26</v>
      </c>
      <c r="N619" s="2">
        <f>Employee_Data[[#This Row],[Basic Salary]]*10%</f>
        <v>356.90833333333336</v>
      </c>
      <c r="O619" s="4">
        <f>Employee_Data[[#This Row],[Basic Salary]]*7.5%</f>
        <v>267.68124999999998</v>
      </c>
      <c r="P619" s="2">
        <f>Employee_Data[[#This Row],[Basic Salary]]*3%</f>
        <v>107.07250000000001</v>
      </c>
      <c r="Q619" s="2">
        <f>SUM(Employee_Data[[#This Row],[Basic Salary]],Employee_Data[[#This Row],[HRA]],Employee_Data[[#This Row],[MA]],Employee_Data[[#This Row],[TA]])</f>
        <v>4300.7454166666666</v>
      </c>
      <c r="R619" s="4">
        <f>Employee_Data[[#This Row],[Basic Salary]]*12.5%</f>
        <v>446.13541666666669</v>
      </c>
      <c r="S619" s="2">
        <f>Employee_Data[[#This Row],[Annual Salary]]/12</f>
        <v>3569.0833333333335</v>
      </c>
    </row>
    <row r="620" spans="1:19" x14ac:dyDescent="0.3">
      <c r="A620" t="s">
        <v>1318</v>
      </c>
      <c r="B620" t="s">
        <v>1319</v>
      </c>
      <c r="C620" t="s">
        <v>268</v>
      </c>
      <c r="D620" t="s">
        <v>21</v>
      </c>
      <c r="E620" t="s">
        <v>36</v>
      </c>
      <c r="F620" t="s">
        <v>23</v>
      </c>
      <c r="G620" t="s">
        <v>43</v>
      </c>
      <c r="H620">
        <v>41</v>
      </c>
      <c r="I620" s="1">
        <v>40252</v>
      </c>
      <c r="J620" s="2">
        <v>118973</v>
      </c>
      <c r="K620" s="3">
        <v>0.1</v>
      </c>
      <c r="L620" t="s">
        <v>25</v>
      </c>
      <c r="M620" t="s">
        <v>51</v>
      </c>
      <c r="N620" s="2">
        <f>Employee_Data[[#This Row],[Basic Salary]]*10%</f>
        <v>991.44166666666661</v>
      </c>
      <c r="O620" s="4">
        <f>Employee_Data[[#This Row],[Basic Salary]]*7.5%</f>
        <v>743.58124999999995</v>
      </c>
      <c r="P620" s="2">
        <f>Employee_Data[[#This Row],[Basic Salary]]*3%</f>
        <v>297.43249999999995</v>
      </c>
      <c r="Q620" s="2">
        <f>SUM(Employee_Data[[#This Row],[Basic Salary]],Employee_Data[[#This Row],[HRA]],Employee_Data[[#This Row],[MA]],Employee_Data[[#This Row],[TA]])</f>
        <v>11946.872083333334</v>
      </c>
      <c r="R620" s="4">
        <f>Employee_Data[[#This Row],[Basic Salary]]*12.5%</f>
        <v>1239.3020833333333</v>
      </c>
      <c r="S620" s="2">
        <f>Employee_Data[[#This Row],[Annual Salary]]/12</f>
        <v>9914.4166666666661</v>
      </c>
    </row>
    <row r="621" spans="1:19" x14ac:dyDescent="0.3">
      <c r="A621" t="s">
        <v>1320</v>
      </c>
      <c r="B621" t="s">
        <v>1321</v>
      </c>
      <c r="C621" t="s">
        <v>380</v>
      </c>
      <c r="D621" t="s">
        <v>4</v>
      </c>
      <c r="E621" t="s">
        <v>22</v>
      </c>
      <c r="F621" t="s">
        <v>42</v>
      </c>
      <c r="G621" t="s">
        <v>66</v>
      </c>
      <c r="H621">
        <v>56</v>
      </c>
      <c r="I621" s="1">
        <v>43463</v>
      </c>
      <c r="J621" s="2">
        <v>61251</v>
      </c>
      <c r="K621" s="3">
        <v>0</v>
      </c>
      <c r="L621" t="s">
        <v>25</v>
      </c>
      <c r="M621" t="s">
        <v>70</v>
      </c>
      <c r="N621" s="2">
        <f>Employee_Data[[#This Row],[Basic Salary]]*10%</f>
        <v>510.42500000000001</v>
      </c>
      <c r="O621" s="4">
        <f>Employee_Data[[#This Row],[Basic Salary]]*7.5%</f>
        <v>382.81874999999997</v>
      </c>
      <c r="P621" s="2">
        <f>Employee_Data[[#This Row],[Basic Salary]]*3%</f>
        <v>153.1275</v>
      </c>
      <c r="Q621" s="2">
        <f>SUM(Employee_Data[[#This Row],[Basic Salary]],Employee_Data[[#This Row],[HRA]],Employee_Data[[#This Row],[MA]],Employee_Data[[#This Row],[TA]])</f>
        <v>6150.6212500000001</v>
      </c>
      <c r="R621" s="4">
        <f>Employee_Data[[#This Row],[Basic Salary]]*12.5%</f>
        <v>638.03125</v>
      </c>
      <c r="S621" s="2">
        <f>Employee_Data[[#This Row],[Annual Salary]]/12</f>
        <v>5104.25</v>
      </c>
    </row>
    <row r="622" spans="1:19" x14ac:dyDescent="0.3">
      <c r="A622" t="s">
        <v>1322</v>
      </c>
      <c r="B622" t="s">
        <v>1323</v>
      </c>
      <c r="C622" t="s">
        <v>268</v>
      </c>
      <c r="D622" t="s">
        <v>21</v>
      </c>
      <c r="E622" t="s">
        <v>56</v>
      </c>
      <c r="F622" t="s">
        <v>23</v>
      </c>
      <c r="G622" t="s">
        <v>66</v>
      </c>
      <c r="H622">
        <v>49</v>
      </c>
      <c r="I622" s="1">
        <v>37370</v>
      </c>
      <c r="J622" s="2">
        <v>108636</v>
      </c>
      <c r="K622" s="3">
        <v>0.1</v>
      </c>
      <c r="L622" t="s">
        <v>25</v>
      </c>
      <c r="M622" t="s">
        <v>26</v>
      </c>
      <c r="N622" s="2">
        <f>Employee_Data[[#This Row],[Basic Salary]]*10%</f>
        <v>905.30000000000007</v>
      </c>
      <c r="O622" s="4">
        <f>Employee_Data[[#This Row],[Basic Salary]]*7.5%</f>
        <v>678.97500000000002</v>
      </c>
      <c r="P622" s="2">
        <f>Employee_Data[[#This Row],[Basic Salary]]*3%</f>
        <v>271.58999999999997</v>
      </c>
      <c r="Q622" s="2">
        <f>SUM(Employee_Data[[#This Row],[Basic Salary]],Employee_Data[[#This Row],[HRA]],Employee_Data[[#This Row],[MA]],Employee_Data[[#This Row],[TA]])</f>
        <v>10908.865</v>
      </c>
      <c r="R622" s="4">
        <f>Employee_Data[[#This Row],[Basic Salary]]*12.5%</f>
        <v>1131.625</v>
      </c>
      <c r="S622" s="2">
        <f>Employee_Data[[#This Row],[Annual Salary]]/12</f>
        <v>9053</v>
      </c>
    </row>
    <row r="623" spans="1:19" x14ac:dyDescent="0.3">
      <c r="A623" t="s">
        <v>1324</v>
      </c>
      <c r="B623" t="s">
        <v>1325</v>
      </c>
      <c r="C623" t="s">
        <v>292</v>
      </c>
      <c r="D623" t="s">
        <v>21</v>
      </c>
      <c r="E623" t="s">
        <v>56</v>
      </c>
      <c r="F623" t="s">
        <v>42</v>
      </c>
      <c r="G623" t="s">
        <v>24</v>
      </c>
      <c r="H623">
        <v>32</v>
      </c>
      <c r="I623" s="1">
        <v>41753</v>
      </c>
      <c r="J623" s="2">
        <v>68780</v>
      </c>
      <c r="K623" s="3">
        <v>0</v>
      </c>
      <c r="L623" t="s">
        <v>37</v>
      </c>
      <c r="M623" t="s">
        <v>111</v>
      </c>
      <c r="N623" s="2">
        <f>Employee_Data[[#This Row],[Basic Salary]]*10%</f>
        <v>573.16666666666674</v>
      </c>
      <c r="O623" s="4">
        <f>Employee_Data[[#This Row],[Basic Salary]]*7.5%</f>
        <v>429.875</v>
      </c>
      <c r="P623" s="2">
        <f>Employee_Data[[#This Row],[Basic Salary]]*3%</f>
        <v>171.95</v>
      </c>
      <c r="Q623" s="2">
        <f>SUM(Employee_Data[[#This Row],[Basic Salary]],Employee_Data[[#This Row],[HRA]],Employee_Data[[#This Row],[MA]],Employee_Data[[#This Row],[TA]])</f>
        <v>6906.6583333333338</v>
      </c>
      <c r="R623" s="4">
        <f>Employee_Data[[#This Row],[Basic Salary]]*12.5%</f>
        <v>716.45833333333337</v>
      </c>
      <c r="S623" s="2">
        <f>Employee_Data[[#This Row],[Annual Salary]]/12</f>
        <v>5731.666666666667</v>
      </c>
    </row>
    <row r="624" spans="1:19" x14ac:dyDescent="0.3">
      <c r="A624" t="s">
        <v>1326</v>
      </c>
      <c r="B624" t="s">
        <v>1327</v>
      </c>
      <c r="C624" t="s">
        <v>60</v>
      </c>
      <c r="D624" t="s">
        <v>55</v>
      </c>
      <c r="E624" t="s">
        <v>31</v>
      </c>
      <c r="F624" t="s">
        <v>42</v>
      </c>
      <c r="G624" t="s">
        <v>66</v>
      </c>
      <c r="H624">
        <v>30</v>
      </c>
      <c r="I624" s="1">
        <v>42592</v>
      </c>
      <c r="J624" s="2">
        <v>60261</v>
      </c>
      <c r="K624" s="3">
        <v>0</v>
      </c>
      <c r="L624" t="s">
        <v>25</v>
      </c>
      <c r="M624" t="s">
        <v>44</v>
      </c>
      <c r="N624" s="2">
        <f>Employee_Data[[#This Row],[Basic Salary]]*10%</f>
        <v>502.17500000000001</v>
      </c>
      <c r="O624" s="4">
        <f>Employee_Data[[#This Row],[Basic Salary]]*7.5%</f>
        <v>376.63124999999997</v>
      </c>
      <c r="P624" s="2">
        <f>Employee_Data[[#This Row],[Basic Salary]]*3%</f>
        <v>150.6525</v>
      </c>
      <c r="Q624" s="2">
        <f>SUM(Employee_Data[[#This Row],[Basic Salary]],Employee_Data[[#This Row],[HRA]],Employee_Data[[#This Row],[MA]],Employee_Data[[#This Row],[TA]])</f>
        <v>6051.2087500000007</v>
      </c>
      <c r="R624" s="4">
        <f>Employee_Data[[#This Row],[Basic Salary]]*12.5%</f>
        <v>627.71875</v>
      </c>
      <c r="S624" s="2">
        <f>Employee_Data[[#This Row],[Annual Salary]]/12</f>
        <v>5021.75</v>
      </c>
    </row>
    <row r="625" spans="1:19" x14ac:dyDescent="0.3">
      <c r="A625" t="s">
        <v>1328</v>
      </c>
      <c r="B625" t="s">
        <v>1329</v>
      </c>
      <c r="C625" t="s">
        <v>69</v>
      </c>
      <c r="D625" t="s">
        <v>61</v>
      </c>
      <c r="E625" t="s">
        <v>56</v>
      </c>
      <c r="F625" t="s">
        <v>23</v>
      </c>
      <c r="G625" t="s">
        <v>24</v>
      </c>
      <c r="H625">
        <v>64</v>
      </c>
      <c r="I625" s="1">
        <v>37815</v>
      </c>
      <c r="J625" s="2">
        <v>100951</v>
      </c>
      <c r="K625" s="3">
        <v>0.05</v>
      </c>
      <c r="L625" t="s">
        <v>25</v>
      </c>
      <c r="M625" t="s">
        <v>70</v>
      </c>
      <c r="N625" s="2">
        <f>Employee_Data[[#This Row],[Basic Salary]]*10%</f>
        <v>841.25833333333344</v>
      </c>
      <c r="O625" s="4">
        <f>Employee_Data[[#This Row],[Basic Salary]]*7.5%</f>
        <v>630.94375000000002</v>
      </c>
      <c r="P625" s="2">
        <f>Employee_Data[[#This Row],[Basic Salary]]*3%</f>
        <v>252.3775</v>
      </c>
      <c r="Q625" s="2">
        <f>SUM(Employee_Data[[#This Row],[Basic Salary]],Employee_Data[[#This Row],[HRA]],Employee_Data[[#This Row],[MA]],Employee_Data[[#This Row],[TA]])</f>
        <v>10137.162916666668</v>
      </c>
      <c r="R625" s="4">
        <f>Employee_Data[[#This Row],[Basic Salary]]*12.5%</f>
        <v>1051.5729166666667</v>
      </c>
      <c r="S625" s="2">
        <f>Employee_Data[[#This Row],[Annual Salary]]/12</f>
        <v>8412.5833333333339</v>
      </c>
    </row>
    <row r="626" spans="1:19" x14ac:dyDescent="0.3">
      <c r="A626" t="s">
        <v>1330</v>
      </c>
      <c r="B626" t="s">
        <v>1331</v>
      </c>
      <c r="C626" t="s">
        <v>380</v>
      </c>
      <c r="D626" t="s">
        <v>4</v>
      </c>
      <c r="E626" t="s">
        <v>56</v>
      </c>
      <c r="F626" t="s">
        <v>23</v>
      </c>
      <c r="G626" t="s">
        <v>43</v>
      </c>
      <c r="H626">
        <v>57</v>
      </c>
      <c r="I626" s="1">
        <v>44762</v>
      </c>
      <c r="J626" s="2">
        <v>93872</v>
      </c>
      <c r="K626" s="3">
        <v>0</v>
      </c>
      <c r="L626" t="s">
        <v>137</v>
      </c>
      <c r="M626" t="s">
        <v>183</v>
      </c>
      <c r="N626" s="2">
        <f>Employee_Data[[#This Row],[Basic Salary]]*10%</f>
        <v>782.26666666666677</v>
      </c>
      <c r="O626" s="4">
        <f>Employee_Data[[#This Row],[Basic Salary]]*7.5%</f>
        <v>586.70000000000005</v>
      </c>
      <c r="P626" s="2">
        <f>Employee_Data[[#This Row],[Basic Salary]]*3%</f>
        <v>234.68</v>
      </c>
      <c r="Q626" s="2">
        <f>SUM(Employee_Data[[#This Row],[Basic Salary]],Employee_Data[[#This Row],[HRA]],Employee_Data[[#This Row],[MA]],Employee_Data[[#This Row],[TA]])</f>
        <v>9426.3133333333353</v>
      </c>
      <c r="R626" s="4">
        <f>Employee_Data[[#This Row],[Basic Salary]]*12.5%</f>
        <v>977.83333333333337</v>
      </c>
      <c r="S626" s="2">
        <f>Employee_Data[[#This Row],[Annual Salary]]/12</f>
        <v>7822.666666666667</v>
      </c>
    </row>
    <row r="627" spans="1:19" x14ac:dyDescent="0.3">
      <c r="A627" t="s">
        <v>1332</v>
      </c>
      <c r="B627" t="s">
        <v>1333</v>
      </c>
      <c r="C627" t="s">
        <v>89</v>
      </c>
      <c r="D627" t="s">
        <v>80</v>
      </c>
      <c r="E627" t="s">
        <v>56</v>
      </c>
      <c r="F627" t="s">
        <v>42</v>
      </c>
      <c r="G627" t="s">
        <v>66</v>
      </c>
      <c r="H627">
        <v>50</v>
      </c>
      <c r="I627" s="1">
        <v>43280</v>
      </c>
      <c r="J627" s="2">
        <v>181570</v>
      </c>
      <c r="K627" s="3">
        <v>0.35</v>
      </c>
      <c r="L627" t="s">
        <v>25</v>
      </c>
      <c r="M627" t="s">
        <v>70</v>
      </c>
      <c r="N627" s="2">
        <f>Employee_Data[[#This Row],[Basic Salary]]*10%</f>
        <v>1513.0833333333335</v>
      </c>
      <c r="O627" s="4">
        <f>Employee_Data[[#This Row],[Basic Salary]]*7.5%</f>
        <v>1134.8125</v>
      </c>
      <c r="P627" s="2">
        <f>Employee_Data[[#This Row],[Basic Salary]]*3%</f>
        <v>453.92500000000001</v>
      </c>
      <c r="Q627" s="2">
        <f>SUM(Employee_Data[[#This Row],[Basic Salary]],Employee_Data[[#This Row],[HRA]],Employee_Data[[#This Row],[MA]],Employee_Data[[#This Row],[TA]])</f>
        <v>18232.654166666667</v>
      </c>
      <c r="R627" s="4">
        <f>Employee_Data[[#This Row],[Basic Salary]]*12.5%</f>
        <v>1891.3541666666667</v>
      </c>
      <c r="S627" s="2">
        <f>Employee_Data[[#This Row],[Annual Salary]]/12</f>
        <v>15130.833333333334</v>
      </c>
    </row>
    <row r="628" spans="1:19" x14ac:dyDescent="0.3">
      <c r="A628" t="s">
        <v>1334</v>
      </c>
      <c r="B628" t="s">
        <v>1335</v>
      </c>
      <c r="C628" t="s">
        <v>69</v>
      </c>
      <c r="D628" t="s">
        <v>30</v>
      </c>
      <c r="E628" t="s">
        <v>22</v>
      </c>
      <c r="F628" t="s">
        <v>23</v>
      </c>
      <c r="G628" t="s">
        <v>24</v>
      </c>
      <c r="H628">
        <v>61</v>
      </c>
      <c r="I628" s="1">
        <v>37894</v>
      </c>
      <c r="J628" s="2">
        <v>101517</v>
      </c>
      <c r="K628" s="3">
        <v>0.09</v>
      </c>
      <c r="L628" t="s">
        <v>25</v>
      </c>
      <c r="M628" t="s">
        <v>44</v>
      </c>
      <c r="N628" s="2">
        <f>Employee_Data[[#This Row],[Basic Salary]]*10%</f>
        <v>845.97500000000002</v>
      </c>
      <c r="O628" s="4">
        <f>Employee_Data[[#This Row],[Basic Salary]]*7.5%</f>
        <v>634.48124999999993</v>
      </c>
      <c r="P628" s="2">
        <f>Employee_Data[[#This Row],[Basic Salary]]*3%</f>
        <v>253.79249999999999</v>
      </c>
      <c r="Q628" s="2">
        <f>SUM(Employee_Data[[#This Row],[Basic Salary]],Employee_Data[[#This Row],[HRA]],Employee_Data[[#This Row],[MA]],Employee_Data[[#This Row],[TA]])</f>
        <v>10193.998750000001</v>
      </c>
      <c r="R628" s="4">
        <f>Employee_Data[[#This Row],[Basic Salary]]*12.5%</f>
        <v>1057.46875</v>
      </c>
      <c r="S628" s="2">
        <f>Employee_Data[[#This Row],[Annual Salary]]/12</f>
        <v>8459.75</v>
      </c>
    </row>
    <row r="629" spans="1:19" x14ac:dyDescent="0.3">
      <c r="A629" t="s">
        <v>1336</v>
      </c>
      <c r="B629" t="s">
        <v>1337</v>
      </c>
      <c r="C629" t="s">
        <v>69</v>
      </c>
      <c r="D629" t="s">
        <v>61</v>
      </c>
      <c r="E629" t="s">
        <v>22</v>
      </c>
      <c r="F629" t="s">
        <v>23</v>
      </c>
      <c r="G629" t="s">
        <v>24</v>
      </c>
      <c r="H629">
        <v>43</v>
      </c>
      <c r="I629" s="1">
        <v>38747</v>
      </c>
      <c r="J629" s="2">
        <v>100822</v>
      </c>
      <c r="K629" s="3">
        <v>0.1</v>
      </c>
      <c r="L629" t="s">
        <v>37</v>
      </c>
      <c r="M629" t="s">
        <v>57</v>
      </c>
      <c r="N629" s="2">
        <f>Employee_Data[[#This Row],[Basic Salary]]*10%</f>
        <v>840.18333333333339</v>
      </c>
      <c r="O629" s="4">
        <f>Employee_Data[[#This Row],[Basic Salary]]*7.5%</f>
        <v>630.13750000000005</v>
      </c>
      <c r="P629" s="2">
        <f>Employee_Data[[#This Row],[Basic Salary]]*3%</f>
        <v>252.05500000000001</v>
      </c>
      <c r="Q629" s="2">
        <f>SUM(Employee_Data[[#This Row],[Basic Salary]],Employee_Data[[#This Row],[HRA]],Employee_Data[[#This Row],[MA]],Employee_Data[[#This Row],[TA]])</f>
        <v>10124.209166666667</v>
      </c>
      <c r="R629" s="4">
        <f>Employee_Data[[#This Row],[Basic Salary]]*12.5%</f>
        <v>1050.2291666666667</v>
      </c>
      <c r="S629" s="2">
        <f>Employee_Data[[#This Row],[Annual Salary]]/12</f>
        <v>8401.8333333333339</v>
      </c>
    </row>
    <row r="630" spans="1:19" x14ac:dyDescent="0.3">
      <c r="A630" t="s">
        <v>1338</v>
      </c>
      <c r="B630" t="s">
        <v>1339</v>
      </c>
      <c r="C630" t="s">
        <v>69</v>
      </c>
      <c r="D630" t="s">
        <v>80</v>
      </c>
      <c r="E630" t="s">
        <v>36</v>
      </c>
      <c r="F630" t="s">
        <v>42</v>
      </c>
      <c r="G630" t="s">
        <v>24</v>
      </c>
      <c r="H630">
        <v>26</v>
      </c>
      <c r="I630" s="1">
        <v>44622</v>
      </c>
      <c r="J630" s="2">
        <v>128965</v>
      </c>
      <c r="K630" s="3">
        <v>0.09</v>
      </c>
      <c r="L630" t="s">
        <v>25</v>
      </c>
      <c r="M630" t="s">
        <v>26</v>
      </c>
      <c r="N630" s="2">
        <f>Employee_Data[[#This Row],[Basic Salary]]*10%</f>
        <v>1074.7083333333335</v>
      </c>
      <c r="O630" s="4">
        <f>Employee_Data[[#This Row],[Basic Salary]]*7.5%</f>
        <v>806.03125</v>
      </c>
      <c r="P630" s="2">
        <f>Employee_Data[[#This Row],[Basic Salary]]*3%</f>
        <v>322.41250000000002</v>
      </c>
      <c r="Q630" s="2">
        <f>SUM(Employee_Data[[#This Row],[Basic Salary]],Employee_Data[[#This Row],[HRA]],Employee_Data[[#This Row],[MA]],Employee_Data[[#This Row],[TA]])</f>
        <v>12950.235416666668</v>
      </c>
      <c r="R630" s="4">
        <f>Employee_Data[[#This Row],[Basic Salary]]*12.5%</f>
        <v>1343.3854166666667</v>
      </c>
      <c r="S630" s="2">
        <f>Employee_Data[[#This Row],[Annual Salary]]/12</f>
        <v>10747.083333333334</v>
      </c>
    </row>
    <row r="631" spans="1:19" x14ac:dyDescent="0.3">
      <c r="A631" t="s">
        <v>1340</v>
      </c>
      <c r="B631" t="s">
        <v>1341</v>
      </c>
      <c r="C631" t="s">
        <v>35</v>
      </c>
      <c r="D631" t="s">
        <v>4</v>
      </c>
      <c r="E631" t="s">
        <v>22</v>
      </c>
      <c r="F631" t="s">
        <v>42</v>
      </c>
      <c r="G631" t="s">
        <v>24</v>
      </c>
      <c r="H631">
        <v>54</v>
      </c>
      <c r="I631" s="1">
        <v>40864</v>
      </c>
      <c r="J631" s="2">
        <v>60513</v>
      </c>
      <c r="K631" s="3">
        <v>0</v>
      </c>
      <c r="L631" t="s">
        <v>25</v>
      </c>
      <c r="M631" t="s">
        <v>48</v>
      </c>
      <c r="N631" s="2">
        <f>Employee_Data[[#This Row],[Basic Salary]]*10%</f>
        <v>504.27500000000003</v>
      </c>
      <c r="O631" s="4">
        <f>Employee_Data[[#This Row],[Basic Salary]]*7.5%</f>
        <v>378.20625000000001</v>
      </c>
      <c r="P631" s="2">
        <f>Employee_Data[[#This Row],[Basic Salary]]*3%</f>
        <v>151.2825</v>
      </c>
      <c r="Q631" s="2">
        <f>SUM(Employee_Data[[#This Row],[Basic Salary]],Employee_Data[[#This Row],[HRA]],Employee_Data[[#This Row],[MA]],Employee_Data[[#This Row],[TA]])</f>
        <v>6076.5137500000001</v>
      </c>
      <c r="R631" s="4">
        <f>Employee_Data[[#This Row],[Basic Salary]]*12.5%</f>
        <v>630.34375</v>
      </c>
      <c r="S631" s="2">
        <f>Employee_Data[[#This Row],[Annual Salary]]/12</f>
        <v>5042.75</v>
      </c>
    </row>
    <row r="632" spans="1:19" x14ac:dyDescent="0.3">
      <c r="A632" t="s">
        <v>1342</v>
      </c>
      <c r="B632" t="s">
        <v>1343</v>
      </c>
      <c r="C632" t="s">
        <v>69</v>
      </c>
      <c r="D632" t="s">
        <v>61</v>
      </c>
      <c r="E632" t="s">
        <v>36</v>
      </c>
      <c r="F632" t="s">
        <v>42</v>
      </c>
      <c r="G632" t="s">
        <v>43</v>
      </c>
      <c r="H632">
        <v>49</v>
      </c>
      <c r="I632" s="1">
        <v>38392</v>
      </c>
      <c r="J632" s="2">
        <v>107461</v>
      </c>
      <c r="K632" s="3">
        <v>0.08</v>
      </c>
      <c r="L632" t="s">
        <v>25</v>
      </c>
      <c r="M632" t="s">
        <v>44</v>
      </c>
      <c r="N632" s="2">
        <f>Employee_Data[[#This Row],[Basic Salary]]*10%</f>
        <v>895.50833333333344</v>
      </c>
      <c r="O632" s="4">
        <f>Employee_Data[[#This Row],[Basic Salary]]*7.5%</f>
        <v>671.63125000000002</v>
      </c>
      <c r="P632" s="2">
        <f>Employee_Data[[#This Row],[Basic Salary]]*3%</f>
        <v>268.65250000000003</v>
      </c>
      <c r="Q632" s="2">
        <f>SUM(Employee_Data[[#This Row],[Basic Salary]],Employee_Data[[#This Row],[HRA]],Employee_Data[[#This Row],[MA]],Employee_Data[[#This Row],[TA]])</f>
        <v>10790.875416666668</v>
      </c>
      <c r="R632" s="4">
        <f>Employee_Data[[#This Row],[Basic Salary]]*12.5%</f>
        <v>1119.3854166666667</v>
      </c>
      <c r="S632" s="2">
        <f>Employee_Data[[#This Row],[Annual Salary]]/12</f>
        <v>8955.0833333333339</v>
      </c>
    </row>
    <row r="633" spans="1:19" x14ac:dyDescent="0.3">
      <c r="A633" t="s">
        <v>1344</v>
      </c>
      <c r="B633" t="s">
        <v>1345</v>
      </c>
      <c r="C633" t="s">
        <v>60</v>
      </c>
      <c r="D633" t="s">
        <v>30</v>
      </c>
      <c r="E633" t="s">
        <v>36</v>
      </c>
      <c r="F633" t="s">
        <v>42</v>
      </c>
      <c r="G633" t="s">
        <v>66</v>
      </c>
      <c r="H633">
        <v>32</v>
      </c>
      <c r="I633" s="1">
        <v>43155</v>
      </c>
      <c r="J633" s="2">
        <v>66294</v>
      </c>
      <c r="K633" s="3">
        <v>0</v>
      </c>
      <c r="L633" t="s">
        <v>25</v>
      </c>
      <c r="M633" t="s">
        <v>26</v>
      </c>
      <c r="N633" s="2">
        <f>Employee_Data[[#This Row],[Basic Salary]]*10%</f>
        <v>552.45000000000005</v>
      </c>
      <c r="O633" s="4">
        <f>Employee_Data[[#This Row],[Basic Salary]]*7.5%</f>
        <v>414.33749999999998</v>
      </c>
      <c r="P633" s="2">
        <f>Employee_Data[[#This Row],[Basic Salary]]*3%</f>
        <v>165.73499999999999</v>
      </c>
      <c r="Q633" s="2">
        <f>SUM(Employee_Data[[#This Row],[Basic Salary]],Employee_Data[[#This Row],[HRA]],Employee_Data[[#This Row],[MA]],Employee_Data[[#This Row],[TA]])</f>
        <v>6657.0224999999991</v>
      </c>
      <c r="R633" s="4">
        <f>Employee_Data[[#This Row],[Basic Salary]]*12.5%</f>
        <v>690.5625</v>
      </c>
      <c r="S633" s="2">
        <f>Employee_Data[[#This Row],[Annual Salary]]/12</f>
        <v>5524.5</v>
      </c>
    </row>
    <row r="634" spans="1:19" x14ac:dyDescent="0.3">
      <c r="A634" t="s">
        <v>1346</v>
      </c>
      <c r="B634" t="s">
        <v>1347</v>
      </c>
      <c r="C634" t="s">
        <v>83</v>
      </c>
      <c r="D634" t="s">
        <v>30</v>
      </c>
      <c r="E634" t="s">
        <v>36</v>
      </c>
      <c r="F634" t="s">
        <v>42</v>
      </c>
      <c r="G634" t="s">
        <v>43</v>
      </c>
      <c r="H634">
        <v>62</v>
      </c>
      <c r="I634" s="1">
        <v>39824</v>
      </c>
      <c r="J634" s="2">
        <v>157500</v>
      </c>
      <c r="K634" s="3">
        <v>0.15</v>
      </c>
      <c r="L634" t="s">
        <v>25</v>
      </c>
      <c r="M634" t="s">
        <v>26</v>
      </c>
      <c r="N634" s="2">
        <f>Employee_Data[[#This Row],[Basic Salary]]*10%</f>
        <v>1312.5</v>
      </c>
      <c r="O634" s="4">
        <f>Employee_Data[[#This Row],[Basic Salary]]*7.5%</f>
        <v>984.375</v>
      </c>
      <c r="P634" s="2">
        <f>Employee_Data[[#This Row],[Basic Salary]]*3%</f>
        <v>393.75</v>
      </c>
      <c r="Q634" s="2">
        <f>SUM(Employee_Data[[#This Row],[Basic Salary]],Employee_Data[[#This Row],[HRA]],Employee_Data[[#This Row],[MA]],Employee_Data[[#This Row],[TA]])</f>
        <v>15815.625</v>
      </c>
      <c r="R634" s="4">
        <f>Employee_Data[[#This Row],[Basic Salary]]*12.5%</f>
        <v>1640.625</v>
      </c>
      <c r="S634" s="2">
        <f>Employee_Data[[#This Row],[Annual Salary]]/12</f>
        <v>13125</v>
      </c>
    </row>
    <row r="635" spans="1:19" x14ac:dyDescent="0.3">
      <c r="A635" t="s">
        <v>1348</v>
      </c>
      <c r="B635" t="s">
        <v>1349</v>
      </c>
      <c r="C635" t="s">
        <v>159</v>
      </c>
      <c r="D635" t="s">
        <v>4</v>
      </c>
      <c r="E635" t="s">
        <v>56</v>
      </c>
      <c r="F635" t="s">
        <v>42</v>
      </c>
      <c r="G635" t="s">
        <v>24</v>
      </c>
      <c r="H635">
        <v>64</v>
      </c>
      <c r="I635" s="1">
        <v>44854</v>
      </c>
      <c r="J635" s="2">
        <v>43271</v>
      </c>
      <c r="K635" s="3">
        <v>0</v>
      </c>
      <c r="L635" t="s">
        <v>37</v>
      </c>
      <c r="M635" t="s">
        <v>62</v>
      </c>
      <c r="N635" s="2">
        <f>Employee_Data[[#This Row],[Basic Salary]]*10%</f>
        <v>360.5916666666667</v>
      </c>
      <c r="O635" s="4">
        <f>Employee_Data[[#This Row],[Basic Salary]]*7.5%</f>
        <v>270.44374999999997</v>
      </c>
      <c r="P635" s="2">
        <f>Employee_Data[[#This Row],[Basic Salary]]*3%</f>
        <v>108.17749999999999</v>
      </c>
      <c r="Q635" s="2">
        <f>SUM(Employee_Data[[#This Row],[Basic Salary]],Employee_Data[[#This Row],[HRA]],Employee_Data[[#This Row],[MA]],Employee_Data[[#This Row],[TA]])</f>
        <v>4345.1295833333334</v>
      </c>
      <c r="R635" s="4">
        <f>Employee_Data[[#This Row],[Basic Salary]]*12.5%</f>
        <v>450.73958333333331</v>
      </c>
      <c r="S635" s="2">
        <f>Employee_Data[[#This Row],[Annual Salary]]/12</f>
        <v>3605.9166666666665</v>
      </c>
    </row>
    <row r="636" spans="1:19" x14ac:dyDescent="0.3">
      <c r="A636" t="s">
        <v>1350</v>
      </c>
      <c r="B636" t="s">
        <v>1351</v>
      </c>
      <c r="C636" t="s">
        <v>101</v>
      </c>
      <c r="D636" t="s">
        <v>4</v>
      </c>
      <c r="E636" t="s">
        <v>36</v>
      </c>
      <c r="F636" t="s">
        <v>42</v>
      </c>
      <c r="G636" t="s">
        <v>43</v>
      </c>
      <c r="H636">
        <v>52</v>
      </c>
      <c r="I636" s="1">
        <v>40713</v>
      </c>
      <c r="J636" s="2">
        <v>91518</v>
      </c>
      <c r="K636" s="3">
        <v>0</v>
      </c>
      <c r="L636" t="s">
        <v>137</v>
      </c>
      <c r="M636" t="s">
        <v>183</v>
      </c>
      <c r="N636" s="2">
        <f>Employee_Data[[#This Row],[Basic Salary]]*10%</f>
        <v>762.65000000000009</v>
      </c>
      <c r="O636" s="4">
        <f>Employee_Data[[#This Row],[Basic Salary]]*7.5%</f>
        <v>571.98749999999995</v>
      </c>
      <c r="P636" s="2">
        <f>Employee_Data[[#This Row],[Basic Salary]]*3%</f>
        <v>228.79499999999999</v>
      </c>
      <c r="Q636" s="2">
        <f>SUM(Employee_Data[[#This Row],[Basic Salary]],Employee_Data[[#This Row],[HRA]],Employee_Data[[#This Row],[MA]],Employee_Data[[#This Row],[TA]])</f>
        <v>9189.932499999999</v>
      </c>
      <c r="R636" s="4">
        <f>Employee_Data[[#This Row],[Basic Salary]]*12.5%</f>
        <v>953.3125</v>
      </c>
      <c r="S636" s="2">
        <f>Employee_Data[[#This Row],[Annual Salary]]/12</f>
        <v>7626.5</v>
      </c>
    </row>
    <row r="637" spans="1:19" x14ac:dyDescent="0.3">
      <c r="A637" t="s">
        <v>1352</v>
      </c>
      <c r="B637" t="s">
        <v>1353</v>
      </c>
      <c r="C637" t="s">
        <v>83</v>
      </c>
      <c r="D637" t="s">
        <v>126</v>
      </c>
      <c r="E637" t="s">
        <v>56</v>
      </c>
      <c r="F637" t="s">
        <v>42</v>
      </c>
      <c r="G637" t="s">
        <v>43</v>
      </c>
      <c r="H637">
        <v>42</v>
      </c>
      <c r="I637" s="1">
        <v>43570</v>
      </c>
      <c r="J637" s="2">
        <v>130874</v>
      </c>
      <c r="K637" s="3">
        <v>0.12</v>
      </c>
      <c r="L637" t="s">
        <v>25</v>
      </c>
      <c r="M637" t="s">
        <v>48</v>
      </c>
      <c r="N637" s="2">
        <f>Employee_Data[[#This Row],[Basic Salary]]*10%</f>
        <v>1090.6166666666666</v>
      </c>
      <c r="O637" s="4">
        <f>Employee_Data[[#This Row],[Basic Salary]]*7.5%</f>
        <v>817.96249999999998</v>
      </c>
      <c r="P637" s="2">
        <f>Employee_Data[[#This Row],[Basic Salary]]*3%</f>
        <v>327.18499999999995</v>
      </c>
      <c r="Q637" s="2">
        <f>SUM(Employee_Data[[#This Row],[Basic Salary]],Employee_Data[[#This Row],[HRA]],Employee_Data[[#This Row],[MA]],Employee_Data[[#This Row],[TA]])</f>
        <v>13141.930833333332</v>
      </c>
      <c r="R637" s="4">
        <f>Employee_Data[[#This Row],[Basic Salary]]*12.5%</f>
        <v>1363.2708333333333</v>
      </c>
      <c r="S637" s="2">
        <f>Employee_Data[[#This Row],[Annual Salary]]/12</f>
        <v>10906.166666666666</v>
      </c>
    </row>
    <row r="638" spans="1:19" x14ac:dyDescent="0.3">
      <c r="A638" t="s">
        <v>1354</v>
      </c>
      <c r="B638" t="s">
        <v>1355</v>
      </c>
      <c r="C638" t="s">
        <v>247</v>
      </c>
      <c r="D638" t="s">
        <v>126</v>
      </c>
      <c r="E638" t="s">
        <v>31</v>
      </c>
      <c r="F638" t="s">
        <v>23</v>
      </c>
      <c r="G638" t="s">
        <v>24</v>
      </c>
      <c r="H638">
        <v>45</v>
      </c>
      <c r="I638" s="1">
        <v>42878</v>
      </c>
      <c r="J638" s="2">
        <v>66324</v>
      </c>
      <c r="K638" s="3">
        <v>0</v>
      </c>
      <c r="L638" t="s">
        <v>37</v>
      </c>
      <c r="M638" t="s">
        <v>111</v>
      </c>
      <c r="N638" s="2">
        <f>Employee_Data[[#This Row],[Basic Salary]]*10%</f>
        <v>552.70000000000005</v>
      </c>
      <c r="O638" s="4">
        <f>Employee_Data[[#This Row],[Basic Salary]]*7.5%</f>
        <v>414.52499999999998</v>
      </c>
      <c r="P638" s="2">
        <f>Employee_Data[[#This Row],[Basic Salary]]*3%</f>
        <v>165.81</v>
      </c>
      <c r="Q638" s="2">
        <f>SUM(Employee_Data[[#This Row],[Basic Salary]],Employee_Data[[#This Row],[HRA]],Employee_Data[[#This Row],[MA]],Employee_Data[[#This Row],[TA]])</f>
        <v>6660.0349999999999</v>
      </c>
      <c r="R638" s="4">
        <f>Employee_Data[[#This Row],[Basic Salary]]*12.5%</f>
        <v>690.875</v>
      </c>
      <c r="S638" s="2">
        <f>Employee_Data[[#This Row],[Annual Salary]]/12</f>
        <v>5527</v>
      </c>
    </row>
    <row r="639" spans="1:19" x14ac:dyDescent="0.3">
      <c r="A639" t="s">
        <v>1356</v>
      </c>
      <c r="B639" t="s">
        <v>1357</v>
      </c>
      <c r="C639" t="s">
        <v>60</v>
      </c>
      <c r="D639" t="s">
        <v>30</v>
      </c>
      <c r="E639" t="s">
        <v>31</v>
      </c>
      <c r="F639" t="s">
        <v>23</v>
      </c>
      <c r="G639" t="s">
        <v>24</v>
      </c>
      <c r="H639">
        <v>65</v>
      </c>
      <c r="I639" s="1">
        <v>35824</v>
      </c>
      <c r="J639" s="2">
        <v>63853</v>
      </c>
      <c r="K639" s="3">
        <v>0</v>
      </c>
      <c r="L639" t="s">
        <v>25</v>
      </c>
      <c r="M639" t="s">
        <v>48</v>
      </c>
      <c r="N639" s="2">
        <f>Employee_Data[[#This Row],[Basic Salary]]*10%</f>
        <v>532.10833333333335</v>
      </c>
      <c r="O639" s="4">
        <f>Employee_Data[[#This Row],[Basic Salary]]*7.5%</f>
        <v>399.08124999999995</v>
      </c>
      <c r="P639" s="2">
        <f>Employee_Data[[#This Row],[Basic Salary]]*3%</f>
        <v>159.63249999999999</v>
      </c>
      <c r="Q639" s="2">
        <f>SUM(Employee_Data[[#This Row],[Basic Salary]],Employee_Data[[#This Row],[HRA]],Employee_Data[[#This Row],[MA]],Employee_Data[[#This Row],[TA]])</f>
        <v>6411.9054166666665</v>
      </c>
      <c r="R639" s="4">
        <f>Employee_Data[[#This Row],[Basic Salary]]*12.5%</f>
        <v>665.13541666666663</v>
      </c>
      <c r="S639" s="2">
        <f>Employee_Data[[#This Row],[Annual Salary]]/12</f>
        <v>5321.083333333333</v>
      </c>
    </row>
    <row r="640" spans="1:19" x14ac:dyDescent="0.3">
      <c r="A640" t="s">
        <v>1358</v>
      </c>
      <c r="B640" t="s">
        <v>1359</v>
      </c>
      <c r="C640" t="s">
        <v>69</v>
      </c>
      <c r="D640" t="s">
        <v>126</v>
      </c>
      <c r="E640" t="s">
        <v>31</v>
      </c>
      <c r="F640" t="s">
        <v>42</v>
      </c>
      <c r="G640" t="s">
        <v>24</v>
      </c>
      <c r="H640">
        <v>46</v>
      </c>
      <c r="I640" s="1">
        <v>44206</v>
      </c>
      <c r="J640" s="2">
        <v>104692</v>
      </c>
      <c r="K640" s="3">
        <v>0.08</v>
      </c>
      <c r="L640" t="s">
        <v>37</v>
      </c>
      <c r="M640" t="s">
        <v>62</v>
      </c>
      <c r="N640" s="2">
        <f>Employee_Data[[#This Row],[Basic Salary]]*10%</f>
        <v>872.43333333333339</v>
      </c>
      <c r="O640" s="4">
        <f>Employee_Data[[#This Row],[Basic Salary]]*7.5%</f>
        <v>654.32500000000005</v>
      </c>
      <c r="P640" s="2">
        <f>Employee_Data[[#This Row],[Basic Salary]]*3%</f>
        <v>261.73</v>
      </c>
      <c r="Q640" s="2">
        <f>SUM(Employee_Data[[#This Row],[Basic Salary]],Employee_Data[[#This Row],[HRA]],Employee_Data[[#This Row],[MA]],Employee_Data[[#This Row],[TA]])</f>
        <v>10512.821666666667</v>
      </c>
      <c r="R640" s="4">
        <f>Employee_Data[[#This Row],[Basic Salary]]*12.5%</f>
        <v>1090.5416666666667</v>
      </c>
      <c r="S640" s="2">
        <f>Employee_Data[[#This Row],[Annual Salary]]/12</f>
        <v>8724.3333333333339</v>
      </c>
    </row>
    <row r="641" spans="1:19" x14ac:dyDescent="0.3">
      <c r="A641" t="s">
        <v>1360</v>
      </c>
      <c r="B641" t="s">
        <v>1361</v>
      </c>
      <c r="C641" t="s">
        <v>227</v>
      </c>
      <c r="D641" t="s">
        <v>4</v>
      </c>
      <c r="E641" t="s">
        <v>31</v>
      </c>
      <c r="F641" t="s">
        <v>42</v>
      </c>
      <c r="G641" t="s">
        <v>43</v>
      </c>
      <c r="H641">
        <v>64</v>
      </c>
      <c r="I641" s="1">
        <v>44868</v>
      </c>
      <c r="J641" s="2">
        <v>71864</v>
      </c>
      <c r="K641" s="3">
        <v>0</v>
      </c>
      <c r="L641" t="s">
        <v>137</v>
      </c>
      <c r="M641" t="s">
        <v>289</v>
      </c>
      <c r="N641" s="2">
        <f>Employee_Data[[#This Row],[Basic Salary]]*10%</f>
        <v>598.86666666666667</v>
      </c>
      <c r="O641" s="4">
        <f>Employee_Data[[#This Row],[Basic Salary]]*7.5%</f>
        <v>449.15000000000003</v>
      </c>
      <c r="P641" s="2">
        <f>Employee_Data[[#This Row],[Basic Salary]]*3%</f>
        <v>179.66</v>
      </c>
      <c r="Q641" s="2">
        <f>SUM(Employee_Data[[#This Row],[Basic Salary]],Employee_Data[[#This Row],[HRA]],Employee_Data[[#This Row],[MA]],Employee_Data[[#This Row],[TA]])</f>
        <v>7216.3433333333332</v>
      </c>
      <c r="R641" s="4">
        <f>Employee_Data[[#This Row],[Basic Salary]]*12.5%</f>
        <v>748.58333333333337</v>
      </c>
      <c r="S641" s="2">
        <f>Employee_Data[[#This Row],[Annual Salary]]/12</f>
        <v>5988.666666666667</v>
      </c>
    </row>
    <row r="642" spans="1:19" x14ac:dyDescent="0.3">
      <c r="A642" t="s">
        <v>1362</v>
      </c>
      <c r="B642" t="s">
        <v>1363</v>
      </c>
      <c r="C642" t="s">
        <v>89</v>
      </c>
      <c r="D642" t="s">
        <v>80</v>
      </c>
      <c r="E642" t="s">
        <v>22</v>
      </c>
      <c r="F642" t="s">
        <v>42</v>
      </c>
      <c r="G642" t="s">
        <v>24</v>
      </c>
      <c r="H642">
        <v>45</v>
      </c>
      <c r="I642" s="1">
        <v>39386</v>
      </c>
      <c r="J642" s="2">
        <v>216269</v>
      </c>
      <c r="K642" s="3">
        <v>0.37</v>
      </c>
      <c r="L642" t="s">
        <v>25</v>
      </c>
      <c r="M642" t="s">
        <v>32</v>
      </c>
      <c r="N642" s="2">
        <f>Employee_Data[[#This Row],[Basic Salary]]*10%</f>
        <v>1802.2416666666668</v>
      </c>
      <c r="O642" s="4">
        <f>Employee_Data[[#This Row],[Basic Salary]]*7.5%</f>
        <v>1351.6812500000001</v>
      </c>
      <c r="P642" s="2">
        <f>Employee_Data[[#This Row],[Basic Salary]]*3%</f>
        <v>540.67250000000001</v>
      </c>
      <c r="Q642" s="2">
        <f>SUM(Employee_Data[[#This Row],[Basic Salary]],Employee_Data[[#This Row],[HRA]],Employee_Data[[#This Row],[MA]],Employee_Data[[#This Row],[TA]])</f>
        <v>21717.012083333335</v>
      </c>
      <c r="R642" s="4">
        <f>Employee_Data[[#This Row],[Basic Salary]]*12.5%</f>
        <v>2252.8020833333335</v>
      </c>
      <c r="S642" s="2">
        <f>Employee_Data[[#This Row],[Annual Salary]]/12</f>
        <v>18022.416666666668</v>
      </c>
    </row>
    <row r="643" spans="1:19" x14ac:dyDescent="0.3">
      <c r="A643" t="s">
        <v>1364</v>
      </c>
      <c r="B643" t="s">
        <v>1365</v>
      </c>
      <c r="C643" t="s">
        <v>173</v>
      </c>
      <c r="D643" t="s">
        <v>4</v>
      </c>
      <c r="E643" t="s">
        <v>56</v>
      </c>
      <c r="F643" t="s">
        <v>42</v>
      </c>
      <c r="G643" t="s">
        <v>24</v>
      </c>
      <c r="H643">
        <v>32</v>
      </c>
      <c r="I643" s="1">
        <v>44547</v>
      </c>
      <c r="J643" s="2">
        <v>73135</v>
      </c>
      <c r="K643" s="3">
        <v>0</v>
      </c>
      <c r="L643" t="s">
        <v>25</v>
      </c>
      <c r="M643" t="s">
        <v>51</v>
      </c>
      <c r="N643" s="2">
        <f>Employee_Data[[#This Row],[Basic Salary]]*10%</f>
        <v>609.45833333333337</v>
      </c>
      <c r="O643" s="4">
        <f>Employee_Data[[#This Row],[Basic Salary]]*7.5%</f>
        <v>457.09374999999994</v>
      </c>
      <c r="P643" s="2">
        <f>Employee_Data[[#This Row],[Basic Salary]]*3%</f>
        <v>182.83749999999998</v>
      </c>
      <c r="Q643" s="2">
        <f>SUM(Employee_Data[[#This Row],[Basic Salary]],Employee_Data[[#This Row],[HRA]],Employee_Data[[#This Row],[MA]],Employee_Data[[#This Row],[TA]])</f>
        <v>7343.9729166666657</v>
      </c>
      <c r="R643" s="4">
        <f>Employee_Data[[#This Row],[Basic Salary]]*12.5%</f>
        <v>761.82291666666663</v>
      </c>
      <c r="S643" s="2">
        <f>Employee_Data[[#This Row],[Annual Salary]]/12</f>
        <v>6094.583333333333</v>
      </c>
    </row>
    <row r="644" spans="1:19" x14ac:dyDescent="0.3">
      <c r="A644" t="s">
        <v>1366</v>
      </c>
      <c r="B644" t="s">
        <v>1367</v>
      </c>
      <c r="C644" t="s">
        <v>47</v>
      </c>
      <c r="D644" t="s">
        <v>21</v>
      </c>
      <c r="E644" t="s">
        <v>31</v>
      </c>
      <c r="F644" t="s">
        <v>42</v>
      </c>
      <c r="G644" t="s">
        <v>24</v>
      </c>
      <c r="H644">
        <v>56</v>
      </c>
      <c r="I644" s="1">
        <v>44739</v>
      </c>
      <c r="J644" s="2">
        <v>197579</v>
      </c>
      <c r="K644" s="3">
        <v>0.18</v>
      </c>
      <c r="L644" t="s">
        <v>25</v>
      </c>
      <c r="M644" t="s">
        <v>32</v>
      </c>
      <c r="N644" s="2">
        <f>Employee_Data[[#This Row],[Basic Salary]]*10%</f>
        <v>1646.4916666666668</v>
      </c>
      <c r="O644" s="4">
        <f>Employee_Data[[#This Row],[Basic Salary]]*7.5%</f>
        <v>1234.8687500000001</v>
      </c>
      <c r="P644" s="2">
        <f>Employee_Data[[#This Row],[Basic Salary]]*3%</f>
        <v>493.94749999999999</v>
      </c>
      <c r="Q644" s="2">
        <f>SUM(Employee_Data[[#This Row],[Basic Salary]],Employee_Data[[#This Row],[HRA]],Employee_Data[[#This Row],[MA]],Employee_Data[[#This Row],[TA]])</f>
        <v>19840.224583333333</v>
      </c>
      <c r="R644" s="4">
        <f>Employee_Data[[#This Row],[Basic Salary]]*12.5%</f>
        <v>2058.1145833333335</v>
      </c>
      <c r="S644" s="2">
        <f>Employee_Data[[#This Row],[Annual Salary]]/12</f>
        <v>16464.916666666668</v>
      </c>
    </row>
    <row r="645" spans="1:19" x14ac:dyDescent="0.3">
      <c r="A645" t="s">
        <v>1368</v>
      </c>
      <c r="B645" t="s">
        <v>1369</v>
      </c>
      <c r="C645" t="s">
        <v>73</v>
      </c>
      <c r="D645" t="s">
        <v>4</v>
      </c>
      <c r="E645" t="s">
        <v>31</v>
      </c>
      <c r="F645" t="s">
        <v>23</v>
      </c>
      <c r="G645" t="s">
        <v>24</v>
      </c>
      <c r="H645">
        <v>46</v>
      </c>
      <c r="I645" s="1">
        <v>40892</v>
      </c>
      <c r="J645" s="2">
        <v>59733</v>
      </c>
      <c r="K645" s="3">
        <v>0</v>
      </c>
      <c r="L645" t="s">
        <v>25</v>
      </c>
      <c r="M645" t="s">
        <v>48</v>
      </c>
      <c r="N645" s="2">
        <f>Employee_Data[[#This Row],[Basic Salary]]*10%</f>
        <v>497.77500000000003</v>
      </c>
      <c r="O645" s="4">
        <f>Employee_Data[[#This Row],[Basic Salary]]*7.5%</f>
        <v>373.33125000000001</v>
      </c>
      <c r="P645" s="2">
        <f>Employee_Data[[#This Row],[Basic Salary]]*3%</f>
        <v>149.33249999999998</v>
      </c>
      <c r="Q645" s="2">
        <f>SUM(Employee_Data[[#This Row],[Basic Salary]],Employee_Data[[#This Row],[HRA]],Employee_Data[[#This Row],[MA]],Employee_Data[[#This Row],[TA]])</f>
        <v>5998.1887499999993</v>
      </c>
      <c r="R645" s="4">
        <f>Employee_Data[[#This Row],[Basic Salary]]*12.5%</f>
        <v>622.21875</v>
      </c>
      <c r="S645" s="2">
        <f>Employee_Data[[#This Row],[Annual Salary]]/12</f>
        <v>4977.75</v>
      </c>
    </row>
    <row r="646" spans="1:19" x14ac:dyDescent="0.3">
      <c r="A646" t="s">
        <v>1370</v>
      </c>
      <c r="B646" t="s">
        <v>1351</v>
      </c>
      <c r="C646" t="s">
        <v>89</v>
      </c>
      <c r="D646" t="s">
        <v>126</v>
      </c>
      <c r="E646" t="s">
        <v>31</v>
      </c>
      <c r="F646" t="s">
        <v>42</v>
      </c>
      <c r="G646" t="s">
        <v>43</v>
      </c>
      <c r="H646">
        <v>26</v>
      </c>
      <c r="I646" s="1">
        <v>43973</v>
      </c>
      <c r="J646" s="2">
        <v>187792</v>
      </c>
      <c r="K646" s="3">
        <v>0.4</v>
      </c>
      <c r="L646" t="s">
        <v>25</v>
      </c>
      <c r="M646" t="s">
        <v>32</v>
      </c>
      <c r="N646" s="2">
        <f>Employee_Data[[#This Row],[Basic Salary]]*10%</f>
        <v>1564.9333333333334</v>
      </c>
      <c r="O646" s="4">
        <f>Employee_Data[[#This Row],[Basic Salary]]*7.5%</f>
        <v>1173.7</v>
      </c>
      <c r="P646" s="2">
        <f>Employee_Data[[#This Row],[Basic Salary]]*3%</f>
        <v>469.48</v>
      </c>
      <c r="Q646" s="2">
        <f>SUM(Employee_Data[[#This Row],[Basic Salary]],Employee_Data[[#This Row],[HRA]],Employee_Data[[#This Row],[MA]],Employee_Data[[#This Row],[TA]])</f>
        <v>18857.446666666667</v>
      </c>
      <c r="R646" s="4">
        <f>Employee_Data[[#This Row],[Basic Salary]]*12.5%</f>
        <v>1956.1666666666667</v>
      </c>
      <c r="S646" s="2">
        <f>Employee_Data[[#This Row],[Annual Salary]]/12</f>
        <v>15649.333333333334</v>
      </c>
    </row>
    <row r="647" spans="1:19" x14ac:dyDescent="0.3">
      <c r="A647" t="s">
        <v>1371</v>
      </c>
      <c r="B647" t="s">
        <v>1372</v>
      </c>
      <c r="C647" t="s">
        <v>69</v>
      </c>
      <c r="D647" t="s">
        <v>126</v>
      </c>
      <c r="E647" t="s">
        <v>56</v>
      </c>
      <c r="F647" t="s">
        <v>42</v>
      </c>
      <c r="G647" t="s">
        <v>66</v>
      </c>
      <c r="H647">
        <v>59</v>
      </c>
      <c r="I647" s="1">
        <v>42742</v>
      </c>
      <c r="J647" s="2">
        <v>108612</v>
      </c>
      <c r="K647" s="3">
        <v>0.06</v>
      </c>
      <c r="L647" t="s">
        <v>25</v>
      </c>
      <c r="M647" t="s">
        <v>51</v>
      </c>
      <c r="N647" s="2">
        <f>Employee_Data[[#This Row],[Basic Salary]]*10%</f>
        <v>905.1</v>
      </c>
      <c r="O647" s="4">
        <f>Employee_Data[[#This Row],[Basic Salary]]*7.5%</f>
        <v>678.82499999999993</v>
      </c>
      <c r="P647" s="2">
        <f>Employee_Data[[#This Row],[Basic Salary]]*3%</f>
        <v>271.52999999999997</v>
      </c>
      <c r="Q647" s="2">
        <f>SUM(Employee_Data[[#This Row],[Basic Salary]],Employee_Data[[#This Row],[HRA]],Employee_Data[[#This Row],[MA]],Employee_Data[[#This Row],[TA]])</f>
        <v>10906.455000000002</v>
      </c>
      <c r="R647" s="4">
        <f>Employee_Data[[#This Row],[Basic Salary]]*12.5%</f>
        <v>1131.375</v>
      </c>
      <c r="S647" s="2">
        <f>Employee_Data[[#This Row],[Annual Salary]]/12</f>
        <v>9051</v>
      </c>
    </row>
    <row r="648" spans="1:19" x14ac:dyDescent="0.3">
      <c r="A648" t="s">
        <v>1373</v>
      </c>
      <c r="B648" t="s">
        <v>1374</v>
      </c>
      <c r="C648" t="s">
        <v>65</v>
      </c>
      <c r="D648" t="s">
        <v>4</v>
      </c>
      <c r="E648" t="s">
        <v>31</v>
      </c>
      <c r="F648" t="s">
        <v>23</v>
      </c>
      <c r="G648" t="s">
        <v>84</v>
      </c>
      <c r="H648">
        <v>50</v>
      </c>
      <c r="I648" s="1">
        <v>43299</v>
      </c>
      <c r="J648" s="2">
        <v>80350</v>
      </c>
      <c r="K648" s="3">
        <v>0</v>
      </c>
      <c r="L648" t="s">
        <v>25</v>
      </c>
      <c r="M648" t="s">
        <v>70</v>
      </c>
      <c r="N648" s="2">
        <f>Employee_Data[[#This Row],[Basic Salary]]*10%</f>
        <v>669.58333333333337</v>
      </c>
      <c r="O648" s="4">
        <f>Employee_Data[[#This Row],[Basic Salary]]*7.5%</f>
        <v>502.18749999999994</v>
      </c>
      <c r="P648" s="2">
        <f>Employee_Data[[#This Row],[Basic Salary]]*3%</f>
        <v>200.87499999999997</v>
      </c>
      <c r="Q648" s="2">
        <f>SUM(Employee_Data[[#This Row],[Basic Salary]],Employee_Data[[#This Row],[HRA]],Employee_Data[[#This Row],[MA]],Employee_Data[[#This Row],[TA]])</f>
        <v>8068.4791666666661</v>
      </c>
      <c r="R648" s="4">
        <f>Employee_Data[[#This Row],[Basic Salary]]*12.5%</f>
        <v>836.97916666666663</v>
      </c>
      <c r="S648" s="2">
        <f>Employee_Data[[#This Row],[Annual Salary]]/12</f>
        <v>6695.833333333333</v>
      </c>
    </row>
    <row r="649" spans="1:19" x14ac:dyDescent="0.3">
      <c r="A649" t="s">
        <v>1375</v>
      </c>
      <c r="B649" t="s">
        <v>1376</v>
      </c>
      <c r="C649" t="s">
        <v>134</v>
      </c>
      <c r="D649" t="s">
        <v>21</v>
      </c>
      <c r="E649" t="s">
        <v>36</v>
      </c>
      <c r="F649" t="s">
        <v>42</v>
      </c>
      <c r="G649" t="s">
        <v>66</v>
      </c>
      <c r="H649">
        <v>32</v>
      </c>
      <c r="I649" s="1">
        <v>43729</v>
      </c>
      <c r="J649" s="2">
        <v>61243</v>
      </c>
      <c r="K649" s="3">
        <v>0</v>
      </c>
      <c r="L649" t="s">
        <v>25</v>
      </c>
      <c r="M649" t="s">
        <v>70</v>
      </c>
      <c r="N649" s="2">
        <f>Employee_Data[[#This Row],[Basic Salary]]*10%</f>
        <v>510.35833333333335</v>
      </c>
      <c r="O649" s="4">
        <f>Employee_Data[[#This Row],[Basic Salary]]*7.5%</f>
        <v>382.76874999999995</v>
      </c>
      <c r="P649" s="2">
        <f>Employee_Data[[#This Row],[Basic Salary]]*3%</f>
        <v>153.10749999999999</v>
      </c>
      <c r="Q649" s="2">
        <f>SUM(Employee_Data[[#This Row],[Basic Salary]],Employee_Data[[#This Row],[HRA]],Employee_Data[[#This Row],[MA]],Employee_Data[[#This Row],[TA]])</f>
        <v>6149.8179166666669</v>
      </c>
      <c r="R649" s="4">
        <f>Employee_Data[[#This Row],[Basic Salary]]*12.5%</f>
        <v>637.94791666666663</v>
      </c>
      <c r="S649" s="2">
        <f>Employee_Data[[#This Row],[Annual Salary]]/12</f>
        <v>5103.583333333333</v>
      </c>
    </row>
    <row r="650" spans="1:19" x14ac:dyDescent="0.3">
      <c r="A650" t="s">
        <v>1377</v>
      </c>
      <c r="B650" t="s">
        <v>1378</v>
      </c>
      <c r="C650" t="s">
        <v>29</v>
      </c>
      <c r="D650" t="s">
        <v>61</v>
      </c>
      <c r="E650" t="s">
        <v>22</v>
      </c>
      <c r="F650" t="s">
        <v>23</v>
      </c>
      <c r="G650" t="s">
        <v>43</v>
      </c>
      <c r="H650">
        <v>56</v>
      </c>
      <c r="I650" s="1">
        <v>37358</v>
      </c>
      <c r="J650" s="2">
        <v>48896</v>
      </c>
      <c r="K650" s="3">
        <v>0</v>
      </c>
      <c r="L650" t="s">
        <v>137</v>
      </c>
      <c r="M650" t="s">
        <v>289</v>
      </c>
      <c r="N650" s="2">
        <f>Employee_Data[[#This Row],[Basic Salary]]*10%</f>
        <v>407.4666666666667</v>
      </c>
      <c r="O650" s="4">
        <f>Employee_Data[[#This Row],[Basic Salary]]*7.5%</f>
        <v>305.59999999999997</v>
      </c>
      <c r="P650" s="2">
        <f>Employee_Data[[#This Row],[Basic Salary]]*3%</f>
        <v>122.24</v>
      </c>
      <c r="Q650" s="2">
        <f>SUM(Employee_Data[[#This Row],[Basic Salary]],Employee_Data[[#This Row],[HRA]],Employee_Data[[#This Row],[MA]],Employee_Data[[#This Row],[TA]])</f>
        <v>4909.9733333333334</v>
      </c>
      <c r="R650" s="4">
        <f>Employee_Data[[#This Row],[Basic Salary]]*12.5%</f>
        <v>509.33333333333331</v>
      </c>
      <c r="S650" s="2">
        <f>Employee_Data[[#This Row],[Annual Salary]]/12</f>
        <v>4074.6666666666665</v>
      </c>
    </row>
    <row r="651" spans="1:19" x14ac:dyDescent="0.3">
      <c r="A651" t="s">
        <v>1379</v>
      </c>
      <c r="B651" t="s">
        <v>1380</v>
      </c>
      <c r="C651" t="s">
        <v>413</v>
      </c>
      <c r="D651" t="s">
        <v>21</v>
      </c>
      <c r="E651" t="s">
        <v>36</v>
      </c>
      <c r="F651" t="s">
        <v>23</v>
      </c>
      <c r="G651" t="s">
        <v>24</v>
      </c>
      <c r="H651">
        <v>32</v>
      </c>
      <c r="I651" s="1">
        <v>43728</v>
      </c>
      <c r="J651" s="2">
        <v>82887</v>
      </c>
      <c r="K651" s="3">
        <v>0</v>
      </c>
      <c r="L651" t="s">
        <v>37</v>
      </c>
      <c r="M651" t="s">
        <v>62</v>
      </c>
      <c r="N651" s="2">
        <f>Employee_Data[[#This Row],[Basic Salary]]*10%</f>
        <v>690.72500000000002</v>
      </c>
      <c r="O651" s="4">
        <f>Employee_Data[[#This Row],[Basic Salary]]*7.5%</f>
        <v>518.04374999999993</v>
      </c>
      <c r="P651" s="2">
        <f>Employee_Data[[#This Row],[Basic Salary]]*3%</f>
        <v>207.2175</v>
      </c>
      <c r="Q651" s="2">
        <f>SUM(Employee_Data[[#This Row],[Basic Salary]],Employee_Data[[#This Row],[HRA]],Employee_Data[[#This Row],[MA]],Employee_Data[[#This Row],[TA]])</f>
        <v>8323.2362499999999</v>
      </c>
      <c r="R651" s="4">
        <f>Employee_Data[[#This Row],[Basic Salary]]*12.5%</f>
        <v>863.40625</v>
      </c>
      <c r="S651" s="2">
        <f>Employee_Data[[#This Row],[Annual Salary]]/12</f>
        <v>6907.25</v>
      </c>
    </row>
    <row r="652" spans="1:19" x14ac:dyDescent="0.3">
      <c r="A652" t="s">
        <v>1381</v>
      </c>
      <c r="B652" t="s">
        <v>1382</v>
      </c>
      <c r="C652" t="s">
        <v>29</v>
      </c>
      <c r="D652" t="s">
        <v>80</v>
      </c>
      <c r="E652" t="s">
        <v>22</v>
      </c>
      <c r="F652" t="s">
        <v>23</v>
      </c>
      <c r="G652" t="s">
        <v>24</v>
      </c>
      <c r="H652">
        <v>45</v>
      </c>
      <c r="I652" s="1">
        <v>38682</v>
      </c>
      <c r="J652" s="2">
        <v>54742</v>
      </c>
      <c r="K652" s="3">
        <v>0</v>
      </c>
      <c r="L652" t="s">
        <v>37</v>
      </c>
      <c r="M652" t="s">
        <v>62</v>
      </c>
      <c r="N652" s="2">
        <f>Employee_Data[[#This Row],[Basic Salary]]*10%</f>
        <v>456.18333333333334</v>
      </c>
      <c r="O652" s="4">
        <f>Employee_Data[[#This Row],[Basic Salary]]*7.5%</f>
        <v>342.13749999999999</v>
      </c>
      <c r="P652" s="2">
        <f>Employee_Data[[#This Row],[Basic Salary]]*3%</f>
        <v>136.85499999999999</v>
      </c>
      <c r="Q652" s="2">
        <f>SUM(Employee_Data[[#This Row],[Basic Salary]],Employee_Data[[#This Row],[HRA]],Employee_Data[[#This Row],[MA]],Employee_Data[[#This Row],[TA]])</f>
        <v>5497.0091666666658</v>
      </c>
      <c r="R652" s="4">
        <f>Employee_Data[[#This Row],[Basic Salary]]*12.5%</f>
        <v>570.22916666666663</v>
      </c>
      <c r="S652" s="2">
        <f>Employee_Data[[#This Row],[Annual Salary]]/12</f>
        <v>4561.833333333333</v>
      </c>
    </row>
    <row r="653" spans="1:19" x14ac:dyDescent="0.3">
      <c r="A653" t="s">
        <v>1383</v>
      </c>
      <c r="B653" t="s">
        <v>1384</v>
      </c>
      <c r="C653" t="s">
        <v>83</v>
      </c>
      <c r="D653" t="s">
        <v>80</v>
      </c>
      <c r="E653" t="s">
        <v>31</v>
      </c>
      <c r="F653" t="s">
        <v>23</v>
      </c>
      <c r="G653" t="s">
        <v>24</v>
      </c>
      <c r="H653">
        <v>43</v>
      </c>
      <c r="I653" s="1">
        <v>39282</v>
      </c>
      <c r="J653" s="2">
        <v>134544</v>
      </c>
      <c r="K653" s="3">
        <v>0.13</v>
      </c>
      <c r="L653" t="s">
        <v>25</v>
      </c>
      <c r="M653" t="s">
        <v>48</v>
      </c>
      <c r="N653" s="2">
        <f>Employee_Data[[#This Row],[Basic Salary]]*10%</f>
        <v>1121.2</v>
      </c>
      <c r="O653" s="4">
        <f>Employee_Data[[#This Row],[Basic Salary]]*7.5%</f>
        <v>840.9</v>
      </c>
      <c r="P653" s="2">
        <f>Employee_Data[[#This Row],[Basic Salary]]*3%</f>
        <v>336.36</v>
      </c>
      <c r="Q653" s="2">
        <f>SUM(Employee_Data[[#This Row],[Basic Salary]],Employee_Data[[#This Row],[HRA]],Employee_Data[[#This Row],[MA]],Employee_Data[[#This Row],[TA]])</f>
        <v>13510.460000000001</v>
      </c>
      <c r="R653" s="4">
        <f>Employee_Data[[#This Row],[Basic Salary]]*12.5%</f>
        <v>1401.5</v>
      </c>
      <c r="S653" s="2">
        <f>Employee_Data[[#This Row],[Annual Salary]]/12</f>
        <v>11212</v>
      </c>
    </row>
    <row r="654" spans="1:19" x14ac:dyDescent="0.3">
      <c r="A654" t="s">
        <v>1385</v>
      </c>
      <c r="B654" t="s">
        <v>1386</v>
      </c>
      <c r="C654" t="s">
        <v>69</v>
      </c>
      <c r="D654" t="s">
        <v>4</v>
      </c>
      <c r="E654" t="s">
        <v>56</v>
      </c>
      <c r="F654" t="s">
        <v>42</v>
      </c>
      <c r="G654" t="s">
        <v>24</v>
      </c>
      <c r="H654">
        <v>45</v>
      </c>
      <c r="I654" s="1">
        <v>37751</v>
      </c>
      <c r="J654" s="2">
        <v>128115</v>
      </c>
      <c r="K654" s="3">
        <v>0.06</v>
      </c>
      <c r="L654" t="s">
        <v>25</v>
      </c>
      <c r="M654" t="s">
        <v>48</v>
      </c>
      <c r="N654" s="2">
        <f>Employee_Data[[#This Row],[Basic Salary]]*10%</f>
        <v>1067.625</v>
      </c>
      <c r="O654" s="4">
        <f>Employee_Data[[#This Row],[Basic Salary]]*7.5%</f>
        <v>800.71875</v>
      </c>
      <c r="P654" s="2">
        <f>Employee_Data[[#This Row],[Basic Salary]]*3%</f>
        <v>320.28749999999997</v>
      </c>
      <c r="Q654" s="2">
        <f>SUM(Employee_Data[[#This Row],[Basic Salary]],Employee_Data[[#This Row],[HRA]],Employee_Data[[#This Row],[MA]],Employee_Data[[#This Row],[TA]])</f>
        <v>12864.88125</v>
      </c>
      <c r="R654" s="4">
        <f>Employee_Data[[#This Row],[Basic Salary]]*12.5%</f>
        <v>1334.53125</v>
      </c>
      <c r="S654" s="2">
        <f>Employee_Data[[#This Row],[Annual Salary]]/12</f>
        <v>10676.25</v>
      </c>
    </row>
    <row r="655" spans="1:19" x14ac:dyDescent="0.3">
      <c r="A655" t="s">
        <v>1387</v>
      </c>
      <c r="B655" t="s">
        <v>1388</v>
      </c>
      <c r="C655" t="s">
        <v>29</v>
      </c>
      <c r="D655" t="s">
        <v>55</v>
      </c>
      <c r="E655" t="s">
        <v>56</v>
      </c>
      <c r="F655" t="s">
        <v>23</v>
      </c>
      <c r="G655" t="s">
        <v>24</v>
      </c>
      <c r="H655">
        <v>38</v>
      </c>
      <c r="I655" s="1">
        <v>41454</v>
      </c>
      <c r="J655" s="2">
        <v>54713</v>
      </c>
      <c r="K655" s="3">
        <v>0</v>
      </c>
      <c r="L655" t="s">
        <v>25</v>
      </c>
      <c r="M655" t="s">
        <v>26</v>
      </c>
      <c r="N655" s="2">
        <f>Employee_Data[[#This Row],[Basic Salary]]*10%</f>
        <v>455.94166666666672</v>
      </c>
      <c r="O655" s="4">
        <f>Employee_Data[[#This Row],[Basic Salary]]*7.5%</f>
        <v>341.95625000000001</v>
      </c>
      <c r="P655" s="2">
        <f>Employee_Data[[#This Row],[Basic Salary]]*3%</f>
        <v>136.7825</v>
      </c>
      <c r="Q655" s="2">
        <f>SUM(Employee_Data[[#This Row],[Basic Salary]],Employee_Data[[#This Row],[HRA]],Employee_Data[[#This Row],[MA]],Employee_Data[[#This Row],[TA]])</f>
        <v>5494.097083333334</v>
      </c>
      <c r="R655" s="4">
        <f>Employee_Data[[#This Row],[Basic Salary]]*12.5%</f>
        <v>569.92708333333337</v>
      </c>
      <c r="S655" s="2">
        <f>Employee_Data[[#This Row],[Annual Salary]]/12</f>
        <v>4559.416666666667</v>
      </c>
    </row>
    <row r="656" spans="1:19" x14ac:dyDescent="0.3">
      <c r="A656" t="s">
        <v>1389</v>
      </c>
      <c r="B656" t="s">
        <v>1390</v>
      </c>
      <c r="C656" t="s">
        <v>60</v>
      </c>
      <c r="D656" t="s">
        <v>30</v>
      </c>
      <c r="E656" t="s">
        <v>36</v>
      </c>
      <c r="F656" t="s">
        <v>42</v>
      </c>
      <c r="G656" t="s">
        <v>66</v>
      </c>
      <c r="H656">
        <v>46</v>
      </c>
      <c r="I656" s="1">
        <v>41860</v>
      </c>
      <c r="J656" s="2">
        <v>63987</v>
      </c>
      <c r="K656" s="3">
        <v>0</v>
      </c>
      <c r="L656" t="s">
        <v>25</v>
      </c>
      <c r="M656" t="s">
        <v>44</v>
      </c>
      <c r="N656" s="2">
        <f>Employee_Data[[#This Row],[Basic Salary]]*10%</f>
        <v>533.22500000000002</v>
      </c>
      <c r="O656" s="4">
        <f>Employee_Data[[#This Row],[Basic Salary]]*7.5%</f>
        <v>399.91874999999999</v>
      </c>
      <c r="P656" s="2">
        <f>Employee_Data[[#This Row],[Basic Salary]]*3%</f>
        <v>159.9675</v>
      </c>
      <c r="Q656" s="2">
        <f>SUM(Employee_Data[[#This Row],[Basic Salary]],Employee_Data[[#This Row],[HRA]],Employee_Data[[#This Row],[MA]],Employee_Data[[#This Row],[TA]])</f>
        <v>6425.3612499999999</v>
      </c>
      <c r="R656" s="4">
        <f>Employee_Data[[#This Row],[Basic Salary]]*12.5%</f>
        <v>666.53125</v>
      </c>
      <c r="S656" s="2">
        <f>Employee_Data[[#This Row],[Annual Salary]]/12</f>
        <v>5332.25</v>
      </c>
    </row>
    <row r="657" spans="1:19" x14ac:dyDescent="0.3">
      <c r="A657" t="s">
        <v>1391</v>
      </c>
      <c r="B657" t="s">
        <v>1392</v>
      </c>
      <c r="C657" t="s">
        <v>41</v>
      </c>
      <c r="D657" t="s">
        <v>4</v>
      </c>
      <c r="E657" t="s">
        <v>36</v>
      </c>
      <c r="F657" t="s">
        <v>23</v>
      </c>
      <c r="G657" t="s">
        <v>24</v>
      </c>
      <c r="H657">
        <v>26</v>
      </c>
      <c r="I657" s="1">
        <v>44558</v>
      </c>
      <c r="J657" s="2">
        <v>86288</v>
      </c>
      <c r="K657" s="3">
        <v>0</v>
      </c>
      <c r="L657" t="s">
        <v>25</v>
      </c>
      <c r="M657" t="s">
        <v>26</v>
      </c>
      <c r="N657" s="2">
        <f>Employee_Data[[#This Row],[Basic Salary]]*10%</f>
        <v>719.06666666666672</v>
      </c>
      <c r="O657" s="4">
        <f>Employee_Data[[#This Row],[Basic Salary]]*7.5%</f>
        <v>539.29999999999995</v>
      </c>
      <c r="P657" s="2">
        <f>Employee_Data[[#This Row],[Basic Salary]]*3%</f>
        <v>215.72</v>
      </c>
      <c r="Q657" s="2">
        <f>SUM(Employee_Data[[#This Row],[Basic Salary]],Employee_Data[[#This Row],[HRA]],Employee_Data[[#This Row],[MA]],Employee_Data[[#This Row],[TA]])</f>
        <v>8664.7533333333322</v>
      </c>
      <c r="R657" s="4">
        <f>Employee_Data[[#This Row],[Basic Salary]]*12.5%</f>
        <v>898.83333333333337</v>
      </c>
      <c r="S657" s="2">
        <f>Employee_Data[[#This Row],[Annual Salary]]/12</f>
        <v>7190.666666666667</v>
      </c>
    </row>
    <row r="658" spans="1:19" x14ac:dyDescent="0.3">
      <c r="A658" t="s">
        <v>1393</v>
      </c>
      <c r="B658" t="s">
        <v>1394</v>
      </c>
      <c r="C658" t="s">
        <v>413</v>
      </c>
      <c r="D658" t="s">
        <v>21</v>
      </c>
      <c r="E658" t="s">
        <v>31</v>
      </c>
      <c r="F658" t="s">
        <v>42</v>
      </c>
      <c r="G658" t="s">
        <v>43</v>
      </c>
      <c r="H658">
        <v>27</v>
      </c>
      <c r="I658" s="1">
        <v>44059</v>
      </c>
      <c r="J658" s="2">
        <v>61693</v>
      </c>
      <c r="K658" s="3">
        <v>0</v>
      </c>
      <c r="L658" t="s">
        <v>137</v>
      </c>
      <c r="M658" t="s">
        <v>183</v>
      </c>
      <c r="N658" s="2">
        <f>Employee_Data[[#This Row],[Basic Salary]]*10%</f>
        <v>514.10833333333335</v>
      </c>
      <c r="O658" s="4">
        <f>Employee_Data[[#This Row],[Basic Salary]]*7.5%</f>
        <v>385.58124999999995</v>
      </c>
      <c r="P658" s="2">
        <f>Employee_Data[[#This Row],[Basic Salary]]*3%</f>
        <v>154.23249999999999</v>
      </c>
      <c r="Q658" s="2">
        <f>SUM(Employee_Data[[#This Row],[Basic Salary]],Employee_Data[[#This Row],[HRA]],Employee_Data[[#This Row],[MA]],Employee_Data[[#This Row],[TA]])</f>
        <v>6195.0054166666669</v>
      </c>
      <c r="R658" s="4">
        <f>Employee_Data[[#This Row],[Basic Salary]]*12.5%</f>
        <v>642.63541666666663</v>
      </c>
      <c r="S658" s="2">
        <f>Employee_Data[[#This Row],[Annual Salary]]/12</f>
        <v>5141.083333333333</v>
      </c>
    </row>
    <row r="659" spans="1:19" x14ac:dyDescent="0.3">
      <c r="A659" t="s">
        <v>1395</v>
      </c>
      <c r="B659" t="s">
        <v>1396</v>
      </c>
      <c r="C659" t="s">
        <v>65</v>
      </c>
      <c r="D659" t="s">
        <v>4</v>
      </c>
      <c r="E659" t="s">
        <v>22</v>
      </c>
      <c r="F659" t="s">
        <v>42</v>
      </c>
      <c r="G659" t="s">
        <v>24</v>
      </c>
      <c r="H659">
        <v>48</v>
      </c>
      <c r="I659" s="1">
        <v>44501</v>
      </c>
      <c r="J659" s="2">
        <v>75624</v>
      </c>
      <c r="K659" s="3">
        <v>0</v>
      </c>
      <c r="L659" t="s">
        <v>37</v>
      </c>
      <c r="M659" t="s">
        <v>62</v>
      </c>
      <c r="N659" s="2">
        <f>Employee_Data[[#This Row],[Basic Salary]]*10%</f>
        <v>630.20000000000005</v>
      </c>
      <c r="O659" s="4">
        <f>Employee_Data[[#This Row],[Basic Salary]]*7.5%</f>
        <v>472.65</v>
      </c>
      <c r="P659" s="2">
        <f>Employee_Data[[#This Row],[Basic Salary]]*3%</f>
        <v>189.06</v>
      </c>
      <c r="Q659" s="2">
        <f>SUM(Employee_Data[[#This Row],[Basic Salary]],Employee_Data[[#This Row],[HRA]],Employee_Data[[#This Row],[MA]],Employee_Data[[#This Row],[TA]])</f>
        <v>7593.91</v>
      </c>
      <c r="R659" s="4">
        <f>Employee_Data[[#This Row],[Basic Salary]]*12.5%</f>
        <v>787.75</v>
      </c>
      <c r="S659" s="2">
        <f>Employee_Data[[#This Row],[Annual Salary]]/12</f>
        <v>6302</v>
      </c>
    </row>
    <row r="660" spans="1:19" x14ac:dyDescent="0.3">
      <c r="A660" t="s">
        <v>1397</v>
      </c>
      <c r="B660" t="s">
        <v>1398</v>
      </c>
      <c r="C660" t="s">
        <v>69</v>
      </c>
      <c r="D660" t="s">
        <v>126</v>
      </c>
      <c r="E660" t="s">
        <v>31</v>
      </c>
      <c r="F660" t="s">
        <v>42</v>
      </c>
      <c r="G660" t="s">
        <v>66</v>
      </c>
      <c r="H660">
        <v>57</v>
      </c>
      <c r="I660" s="1">
        <v>41411</v>
      </c>
      <c r="J660" s="2">
        <v>122979</v>
      </c>
      <c r="K660" s="3">
        <v>0.06</v>
      </c>
      <c r="L660" t="s">
        <v>25</v>
      </c>
      <c r="M660" t="s">
        <v>51</v>
      </c>
      <c r="N660" s="2">
        <f>Employee_Data[[#This Row],[Basic Salary]]*10%</f>
        <v>1024.825</v>
      </c>
      <c r="O660" s="4">
        <f>Employee_Data[[#This Row],[Basic Salary]]*7.5%</f>
        <v>768.61874999999998</v>
      </c>
      <c r="P660" s="2">
        <f>Employee_Data[[#This Row],[Basic Salary]]*3%</f>
        <v>307.44749999999999</v>
      </c>
      <c r="Q660" s="2">
        <f>SUM(Employee_Data[[#This Row],[Basic Salary]],Employee_Data[[#This Row],[HRA]],Employee_Data[[#This Row],[MA]],Employee_Data[[#This Row],[TA]])</f>
        <v>12349.141250000001</v>
      </c>
      <c r="R660" s="4">
        <f>Employee_Data[[#This Row],[Basic Salary]]*12.5%</f>
        <v>1281.03125</v>
      </c>
      <c r="S660" s="2">
        <f>Employee_Data[[#This Row],[Annual Salary]]/12</f>
        <v>10248.25</v>
      </c>
    </row>
    <row r="661" spans="1:19" x14ac:dyDescent="0.3">
      <c r="A661" t="s">
        <v>1399</v>
      </c>
      <c r="B661" t="s">
        <v>1400</v>
      </c>
      <c r="C661" t="s">
        <v>268</v>
      </c>
      <c r="D661" t="s">
        <v>21</v>
      </c>
      <c r="E661" t="s">
        <v>56</v>
      </c>
      <c r="F661" t="s">
        <v>23</v>
      </c>
      <c r="G661" t="s">
        <v>66</v>
      </c>
      <c r="H661">
        <v>58</v>
      </c>
      <c r="I661" s="1">
        <v>37627</v>
      </c>
      <c r="J661" s="2">
        <v>91729</v>
      </c>
      <c r="K661" s="3">
        <v>0.13</v>
      </c>
      <c r="L661" t="s">
        <v>25</v>
      </c>
      <c r="M661" t="s">
        <v>32</v>
      </c>
      <c r="N661" s="2">
        <f>Employee_Data[[#This Row],[Basic Salary]]*10%</f>
        <v>764.4083333333333</v>
      </c>
      <c r="O661" s="4">
        <f>Employee_Data[[#This Row],[Basic Salary]]*7.5%</f>
        <v>573.30624999999998</v>
      </c>
      <c r="P661" s="2">
        <f>Employee_Data[[#This Row],[Basic Salary]]*3%</f>
        <v>229.32249999999999</v>
      </c>
      <c r="Q661" s="2">
        <f>SUM(Employee_Data[[#This Row],[Basic Salary]],Employee_Data[[#This Row],[HRA]],Employee_Data[[#This Row],[MA]],Employee_Data[[#This Row],[TA]])</f>
        <v>9211.1204166666666</v>
      </c>
      <c r="R661" s="4">
        <f>Employee_Data[[#This Row],[Basic Salary]]*12.5%</f>
        <v>955.51041666666663</v>
      </c>
      <c r="S661" s="2">
        <f>Employee_Data[[#This Row],[Annual Salary]]/12</f>
        <v>7644.083333333333</v>
      </c>
    </row>
    <row r="662" spans="1:19" x14ac:dyDescent="0.3">
      <c r="A662" t="s">
        <v>1401</v>
      </c>
      <c r="B662" t="s">
        <v>1402</v>
      </c>
      <c r="C662" t="s">
        <v>69</v>
      </c>
      <c r="D662" t="s">
        <v>61</v>
      </c>
      <c r="E662" t="s">
        <v>31</v>
      </c>
      <c r="F662" t="s">
        <v>23</v>
      </c>
      <c r="G662" t="s">
        <v>66</v>
      </c>
      <c r="H662">
        <v>48</v>
      </c>
      <c r="I662" s="1">
        <v>40314</v>
      </c>
      <c r="J662" s="2">
        <v>117736</v>
      </c>
      <c r="K662" s="3">
        <v>0.05</v>
      </c>
      <c r="L662" t="s">
        <v>25</v>
      </c>
      <c r="M662" t="s">
        <v>26</v>
      </c>
      <c r="N662" s="2">
        <f>Employee_Data[[#This Row],[Basic Salary]]*10%</f>
        <v>981.13333333333344</v>
      </c>
      <c r="O662" s="4">
        <f>Employee_Data[[#This Row],[Basic Salary]]*7.5%</f>
        <v>735.85</v>
      </c>
      <c r="P662" s="2">
        <f>Employee_Data[[#This Row],[Basic Salary]]*3%</f>
        <v>294.34000000000003</v>
      </c>
      <c r="Q662" s="2">
        <f>SUM(Employee_Data[[#This Row],[Basic Salary]],Employee_Data[[#This Row],[HRA]],Employee_Data[[#This Row],[MA]],Employee_Data[[#This Row],[TA]])</f>
        <v>11822.656666666668</v>
      </c>
      <c r="R662" s="4">
        <f>Employee_Data[[#This Row],[Basic Salary]]*12.5%</f>
        <v>1226.4166666666667</v>
      </c>
      <c r="S662" s="2">
        <f>Employee_Data[[#This Row],[Annual Salary]]/12</f>
        <v>9811.3333333333339</v>
      </c>
    </row>
    <row r="663" spans="1:19" x14ac:dyDescent="0.3">
      <c r="A663" t="s">
        <v>1403</v>
      </c>
      <c r="B663" t="s">
        <v>1404</v>
      </c>
      <c r="C663" t="s">
        <v>83</v>
      </c>
      <c r="D663" t="s">
        <v>126</v>
      </c>
      <c r="E663" t="s">
        <v>36</v>
      </c>
      <c r="F663" t="s">
        <v>23</v>
      </c>
      <c r="G663" t="s">
        <v>24</v>
      </c>
      <c r="H663">
        <v>54</v>
      </c>
      <c r="I663" s="1">
        <v>34779</v>
      </c>
      <c r="J663" s="2">
        <v>154658</v>
      </c>
      <c r="K663" s="3">
        <v>0.12</v>
      </c>
      <c r="L663" t="s">
        <v>37</v>
      </c>
      <c r="M663" t="s">
        <v>57</v>
      </c>
      <c r="N663" s="2">
        <f>Employee_Data[[#This Row],[Basic Salary]]*10%</f>
        <v>1288.8166666666666</v>
      </c>
      <c r="O663" s="4">
        <f>Employee_Data[[#This Row],[Basic Salary]]*7.5%</f>
        <v>966.61249999999995</v>
      </c>
      <c r="P663" s="2">
        <f>Employee_Data[[#This Row],[Basic Salary]]*3%</f>
        <v>386.64499999999998</v>
      </c>
      <c r="Q663" s="2">
        <f>SUM(Employee_Data[[#This Row],[Basic Salary]],Employee_Data[[#This Row],[HRA]],Employee_Data[[#This Row],[MA]],Employee_Data[[#This Row],[TA]])</f>
        <v>15530.240833333333</v>
      </c>
      <c r="R663" s="4">
        <f>Employee_Data[[#This Row],[Basic Salary]]*12.5%</f>
        <v>1611.0208333333333</v>
      </c>
      <c r="S663" s="2">
        <f>Employee_Data[[#This Row],[Annual Salary]]/12</f>
        <v>12888.166666666666</v>
      </c>
    </row>
    <row r="664" spans="1:19" x14ac:dyDescent="0.3">
      <c r="A664" t="s">
        <v>1405</v>
      </c>
      <c r="B664" t="s">
        <v>1406</v>
      </c>
      <c r="C664" t="s">
        <v>173</v>
      </c>
      <c r="D664" t="s">
        <v>4</v>
      </c>
      <c r="E664" t="s">
        <v>36</v>
      </c>
      <c r="F664" t="s">
        <v>23</v>
      </c>
      <c r="G664" t="s">
        <v>24</v>
      </c>
      <c r="H664">
        <v>29</v>
      </c>
      <c r="I664" s="1">
        <v>44046</v>
      </c>
      <c r="J664" s="2">
        <v>84397</v>
      </c>
      <c r="K664" s="3">
        <v>0</v>
      </c>
      <c r="L664" t="s">
        <v>25</v>
      </c>
      <c r="M664" t="s">
        <v>44</v>
      </c>
      <c r="N664" s="2">
        <f>Employee_Data[[#This Row],[Basic Salary]]*10%</f>
        <v>703.30833333333339</v>
      </c>
      <c r="O664" s="4">
        <f>Employee_Data[[#This Row],[Basic Salary]]*7.5%</f>
        <v>527.48124999999993</v>
      </c>
      <c r="P664" s="2">
        <f>Employee_Data[[#This Row],[Basic Salary]]*3%</f>
        <v>210.99249999999998</v>
      </c>
      <c r="Q664" s="2">
        <f>SUM(Employee_Data[[#This Row],[Basic Salary]],Employee_Data[[#This Row],[HRA]],Employee_Data[[#This Row],[MA]],Employee_Data[[#This Row],[TA]])</f>
        <v>8474.8654166666674</v>
      </c>
      <c r="R664" s="4">
        <f>Employee_Data[[#This Row],[Basic Salary]]*12.5%</f>
        <v>879.13541666666663</v>
      </c>
      <c r="S664" s="2">
        <f>Employee_Data[[#This Row],[Annual Salary]]/12</f>
        <v>7033.083333333333</v>
      </c>
    </row>
    <row r="665" spans="1:19" x14ac:dyDescent="0.3">
      <c r="A665" t="s">
        <v>1407</v>
      </c>
      <c r="B665" t="s">
        <v>1408</v>
      </c>
      <c r="C665" t="s">
        <v>47</v>
      </c>
      <c r="D665" t="s">
        <v>55</v>
      </c>
      <c r="E665" t="s">
        <v>56</v>
      </c>
      <c r="F665" t="s">
        <v>42</v>
      </c>
      <c r="G665" t="s">
        <v>24</v>
      </c>
      <c r="H665">
        <v>50</v>
      </c>
      <c r="I665" s="1">
        <v>35664</v>
      </c>
      <c r="J665" s="2">
        <v>159285</v>
      </c>
      <c r="K665" s="3">
        <v>0.15</v>
      </c>
      <c r="L665" t="s">
        <v>25</v>
      </c>
      <c r="M665" t="s">
        <v>48</v>
      </c>
      <c r="N665" s="2">
        <f>Employee_Data[[#This Row],[Basic Salary]]*10%</f>
        <v>1327.375</v>
      </c>
      <c r="O665" s="4">
        <f>Employee_Data[[#This Row],[Basic Salary]]*7.5%</f>
        <v>995.53125</v>
      </c>
      <c r="P665" s="2">
        <f>Employee_Data[[#This Row],[Basic Salary]]*3%</f>
        <v>398.21249999999998</v>
      </c>
      <c r="Q665" s="2">
        <f>SUM(Employee_Data[[#This Row],[Basic Salary]],Employee_Data[[#This Row],[HRA]],Employee_Data[[#This Row],[MA]],Employee_Data[[#This Row],[TA]])</f>
        <v>15994.86875</v>
      </c>
      <c r="R665" s="4">
        <f>Employee_Data[[#This Row],[Basic Salary]]*12.5%</f>
        <v>1659.21875</v>
      </c>
      <c r="S665" s="2">
        <f>Employee_Data[[#This Row],[Annual Salary]]/12</f>
        <v>13273.75</v>
      </c>
    </row>
    <row r="666" spans="1:19" x14ac:dyDescent="0.3">
      <c r="A666" t="s">
        <v>1409</v>
      </c>
      <c r="B666" t="s">
        <v>1410</v>
      </c>
      <c r="C666" t="s">
        <v>60</v>
      </c>
      <c r="D666" t="s">
        <v>55</v>
      </c>
      <c r="E666" t="s">
        <v>36</v>
      </c>
      <c r="F666" t="s">
        <v>42</v>
      </c>
      <c r="G666" t="s">
        <v>66</v>
      </c>
      <c r="H666">
        <v>49</v>
      </c>
      <c r="I666" s="1">
        <v>38144</v>
      </c>
      <c r="J666" s="2">
        <v>59854</v>
      </c>
      <c r="K666" s="3">
        <v>0</v>
      </c>
      <c r="L666" t="s">
        <v>25</v>
      </c>
      <c r="M666" t="s">
        <v>70</v>
      </c>
      <c r="N666" s="2">
        <f>Employee_Data[[#This Row],[Basic Salary]]*10%</f>
        <v>498.7833333333333</v>
      </c>
      <c r="O666" s="4">
        <f>Employee_Data[[#This Row],[Basic Salary]]*7.5%</f>
        <v>374.08749999999998</v>
      </c>
      <c r="P666" s="2">
        <f>Employee_Data[[#This Row],[Basic Salary]]*3%</f>
        <v>149.63499999999999</v>
      </c>
      <c r="Q666" s="2">
        <f>SUM(Employee_Data[[#This Row],[Basic Salary]],Employee_Data[[#This Row],[HRA]],Employee_Data[[#This Row],[MA]],Employee_Data[[#This Row],[TA]])</f>
        <v>6010.3391666666666</v>
      </c>
      <c r="R666" s="4">
        <f>Employee_Data[[#This Row],[Basic Salary]]*12.5%</f>
        <v>623.47916666666663</v>
      </c>
      <c r="S666" s="2">
        <f>Employee_Data[[#This Row],[Annual Salary]]/12</f>
        <v>4987.833333333333</v>
      </c>
    </row>
    <row r="667" spans="1:19" x14ac:dyDescent="0.3">
      <c r="A667" t="s">
        <v>1411</v>
      </c>
      <c r="B667" t="s">
        <v>1412</v>
      </c>
      <c r="C667" t="s">
        <v>227</v>
      </c>
      <c r="D667" t="s">
        <v>4</v>
      </c>
      <c r="E667" t="s">
        <v>36</v>
      </c>
      <c r="F667" t="s">
        <v>23</v>
      </c>
      <c r="G667" t="s">
        <v>66</v>
      </c>
      <c r="H667">
        <v>64</v>
      </c>
      <c r="I667" s="1">
        <v>43238</v>
      </c>
      <c r="J667" s="2">
        <v>87521</v>
      </c>
      <c r="K667" s="3">
        <v>0</v>
      </c>
      <c r="L667" t="s">
        <v>25</v>
      </c>
      <c r="M667" t="s">
        <v>44</v>
      </c>
      <c r="N667" s="2">
        <f>Employee_Data[[#This Row],[Basic Salary]]*10%</f>
        <v>729.3416666666667</v>
      </c>
      <c r="O667" s="4">
        <f>Employee_Data[[#This Row],[Basic Salary]]*7.5%</f>
        <v>547.00625000000002</v>
      </c>
      <c r="P667" s="2">
        <f>Employee_Data[[#This Row],[Basic Salary]]*3%</f>
        <v>218.80250000000001</v>
      </c>
      <c r="Q667" s="2">
        <f>SUM(Employee_Data[[#This Row],[Basic Salary]],Employee_Data[[#This Row],[HRA]],Employee_Data[[#This Row],[MA]],Employee_Data[[#This Row],[TA]])</f>
        <v>8788.5670833333334</v>
      </c>
      <c r="R667" s="4">
        <f>Employee_Data[[#This Row],[Basic Salary]]*12.5%</f>
        <v>911.67708333333337</v>
      </c>
      <c r="S667" s="2">
        <f>Employee_Data[[#This Row],[Annual Salary]]/12</f>
        <v>7293.416666666667</v>
      </c>
    </row>
    <row r="668" spans="1:19" x14ac:dyDescent="0.3">
      <c r="A668" t="s">
        <v>1413</v>
      </c>
      <c r="B668" t="s">
        <v>1414</v>
      </c>
      <c r="C668" t="s">
        <v>47</v>
      </c>
      <c r="D668" t="s">
        <v>80</v>
      </c>
      <c r="E668" t="s">
        <v>36</v>
      </c>
      <c r="F668" t="s">
        <v>23</v>
      </c>
      <c r="G668" t="s">
        <v>43</v>
      </c>
      <c r="H668">
        <v>36</v>
      </c>
      <c r="I668" s="1">
        <v>42264</v>
      </c>
      <c r="J668" s="2">
        <v>179166</v>
      </c>
      <c r="K668" s="3">
        <v>0.17</v>
      </c>
      <c r="L668" t="s">
        <v>137</v>
      </c>
      <c r="M668" t="s">
        <v>289</v>
      </c>
      <c r="N668" s="2">
        <f>Employee_Data[[#This Row],[Basic Salary]]*10%</f>
        <v>1493.0500000000002</v>
      </c>
      <c r="O668" s="4">
        <f>Employee_Data[[#This Row],[Basic Salary]]*7.5%</f>
        <v>1119.7874999999999</v>
      </c>
      <c r="P668" s="2">
        <f>Employee_Data[[#This Row],[Basic Salary]]*3%</f>
        <v>447.91499999999996</v>
      </c>
      <c r="Q668" s="2">
        <f>SUM(Employee_Data[[#This Row],[Basic Salary]],Employee_Data[[#This Row],[HRA]],Employee_Data[[#This Row],[MA]],Employee_Data[[#This Row],[TA]])</f>
        <v>17991.252499999999</v>
      </c>
      <c r="R668" s="4">
        <f>Employee_Data[[#This Row],[Basic Salary]]*12.5%</f>
        <v>1866.3125</v>
      </c>
      <c r="S668" s="2">
        <f>Employee_Data[[#This Row],[Annual Salary]]/12</f>
        <v>14930.5</v>
      </c>
    </row>
    <row r="669" spans="1:19" x14ac:dyDescent="0.3">
      <c r="A669" t="s">
        <v>1415</v>
      </c>
      <c r="B669" t="s">
        <v>1416</v>
      </c>
      <c r="C669" t="s">
        <v>20</v>
      </c>
      <c r="D669" t="s">
        <v>21</v>
      </c>
      <c r="E669" t="s">
        <v>31</v>
      </c>
      <c r="F669" t="s">
        <v>42</v>
      </c>
      <c r="G669" t="s">
        <v>24</v>
      </c>
      <c r="H669">
        <v>55</v>
      </c>
      <c r="I669" s="1">
        <v>36248</v>
      </c>
      <c r="J669" s="2">
        <v>120092</v>
      </c>
      <c r="K669" s="3">
        <v>0</v>
      </c>
      <c r="L669" t="s">
        <v>37</v>
      </c>
      <c r="M669" t="s">
        <v>57</v>
      </c>
      <c r="N669" s="2">
        <f>Employee_Data[[#This Row],[Basic Salary]]*10%</f>
        <v>1000.7666666666667</v>
      </c>
      <c r="O669" s="4">
        <f>Employee_Data[[#This Row],[Basic Salary]]*7.5%</f>
        <v>750.57499999999993</v>
      </c>
      <c r="P669" s="2">
        <f>Employee_Data[[#This Row],[Basic Salary]]*3%</f>
        <v>300.22999999999996</v>
      </c>
      <c r="Q669" s="2">
        <f>SUM(Employee_Data[[#This Row],[Basic Salary]],Employee_Data[[#This Row],[HRA]],Employee_Data[[#This Row],[MA]],Employee_Data[[#This Row],[TA]])</f>
        <v>12059.238333333333</v>
      </c>
      <c r="R669" s="4">
        <f>Employee_Data[[#This Row],[Basic Salary]]*12.5%</f>
        <v>1250.9583333333333</v>
      </c>
      <c r="S669" s="2">
        <f>Employee_Data[[#This Row],[Annual Salary]]/12</f>
        <v>10007.666666666666</v>
      </c>
    </row>
    <row r="670" spans="1:19" x14ac:dyDescent="0.3">
      <c r="A670" t="s">
        <v>1417</v>
      </c>
      <c r="B670" t="s">
        <v>1418</v>
      </c>
      <c r="C670" t="s">
        <v>47</v>
      </c>
      <c r="D670" t="s">
        <v>21</v>
      </c>
      <c r="E670" t="s">
        <v>31</v>
      </c>
      <c r="F670" t="s">
        <v>23</v>
      </c>
      <c r="G670" t="s">
        <v>24</v>
      </c>
      <c r="H670">
        <v>53</v>
      </c>
      <c r="I670" s="1">
        <v>42174</v>
      </c>
      <c r="J670" s="2">
        <v>168142</v>
      </c>
      <c r="K670" s="3">
        <v>0.27</v>
      </c>
      <c r="L670" t="s">
        <v>37</v>
      </c>
      <c r="M670" t="s">
        <v>111</v>
      </c>
      <c r="N670" s="2">
        <f>Employee_Data[[#This Row],[Basic Salary]]*10%</f>
        <v>1401.1833333333334</v>
      </c>
      <c r="O670" s="4">
        <f>Employee_Data[[#This Row],[Basic Salary]]*7.5%</f>
        <v>1050.8875</v>
      </c>
      <c r="P670" s="2">
        <f>Employee_Data[[#This Row],[Basic Salary]]*3%</f>
        <v>420.35500000000002</v>
      </c>
      <c r="Q670" s="2">
        <f>SUM(Employee_Data[[#This Row],[Basic Salary]],Employee_Data[[#This Row],[HRA]],Employee_Data[[#This Row],[MA]],Employee_Data[[#This Row],[TA]])</f>
        <v>16884.259166666667</v>
      </c>
      <c r="R670" s="4">
        <f>Employee_Data[[#This Row],[Basic Salary]]*12.5%</f>
        <v>1751.4791666666667</v>
      </c>
      <c r="S670" s="2">
        <f>Employee_Data[[#This Row],[Annual Salary]]/12</f>
        <v>14011.833333333334</v>
      </c>
    </row>
    <row r="671" spans="1:19" x14ac:dyDescent="0.3">
      <c r="A671" t="s">
        <v>1419</v>
      </c>
      <c r="B671" t="s">
        <v>1420</v>
      </c>
      <c r="C671" t="s">
        <v>47</v>
      </c>
      <c r="D671" t="s">
        <v>61</v>
      </c>
      <c r="E671" t="s">
        <v>31</v>
      </c>
      <c r="F671" t="s">
        <v>42</v>
      </c>
      <c r="G671" t="s">
        <v>43</v>
      </c>
      <c r="H671">
        <v>54</v>
      </c>
      <c r="I671" s="1">
        <v>34799</v>
      </c>
      <c r="J671" s="2">
        <v>195662</v>
      </c>
      <c r="K671" s="3">
        <v>0.15</v>
      </c>
      <c r="L671" t="s">
        <v>25</v>
      </c>
      <c r="M671" t="s">
        <v>26</v>
      </c>
      <c r="N671" s="2">
        <f>Employee_Data[[#This Row],[Basic Salary]]*10%</f>
        <v>1630.5166666666667</v>
      </c>
      <c r="O671" s="4">
        <f>Employee_Data[[#This Row],[Basic Salary]]*7.5%</f>
        <v>1222.8874999999998</v>
      </c>
      <c r="P671" s="2">
        <f>Employee_Data[[#This Row],[Basic Salary]]*3%</f>
        <v>489.15499999999997</v>
      </c>
      <c r="Q671" s="2">
        <f>SUM(Employee_Data[[#This Row],[Basic Salary]],Employee_Data[[#This Row],[HRA]],Employee_Data[[#This Row],[MA]],Employee_Data[[#This Row],[TA]])</f>
        <v>19647.725833333334</v>
      </c>
      <c r="R671" s="4">
        <f>Employee_Data[[#This Row],[Basic Salary]]*12.5%</f>
        <v>2038.1458333333333</v>
      </c>
      <c r="S671" s="2">
        <f>Employee_Data[[#This Row],[Annual Salary]]/12</f>
        <v>16305.166666666666</v>
      </c>
    </row>
    <row r="672" spans="1:19" x14ac:dyDescent="0.3">
      <c r="A672" t="s">
        <v>1421</v>
      </c>
      <c r="B672" t="s">
        <v>1422</v>
      </c>
      <c r="C672" t="s">
        <v>73</v>
      </c>
      <c r="D672" t="s">
        <v>4</v>
      </c>
      <c r="E672" t="s">
        <v>22</v>
      </c>
      <c r="F672" t="s">
        <v>23</v>
      </c>
      <c r="G672" t="s">
        <v>66</v>
      </c>
      <c r="H672">
        <v>41</v>
      </c>
      <c r="I672" s="1">
        <v>41260</v>
      </c>
      <c r="J672" s="2">
        <v>49986</v>
      </c>
      <c r="K672" s="3">
        <v>0</v>
      </c>
      <c r="L672" t="s">
        <v>25</v>
      </c>
      <c r="M672" t="s">
        <v>70</v>
      </c>
      <c r="N672" s="2">
        <f>Employee_Data[[#This Row],[Basic Salary]]*10%</f>
        <v>416.55</v>
      </c>
      <c r="O672" s="4">
        <f>Employee_Data[[#This Row],[Basic Salary]]*7.5%</f>
        <v>312.41249999999997</v>
      </c>
      <c r="P672" s="2">
        <f>Employee_Data[[#This Row],[Basic Salary]]*3%</f>
        <v>124.96499999999999</v>
      </c>
      <c r="Q672" s="2">
        <f>SUM(Employee_Data[[#This Row],[Basic Salary]],Employee_Data[[#This Row],[HRA]],Employee_Data[[#This Row],[MA]],Employee_Data[[#This Row],[TA]])</f>
        <v>5019.4275000000007</v>
      </c>
      <c r="R672" s="4">
        <f>Employee_Data[[#This Row],[Basic Salary]]*12.5%</f>
        <v>520.6875</v>
      </c>
      <c r="S672" s="2">
        <f>Employee_Data[[#This Row],[Annual Salary]]/12</f>
        <v>4165.5</v>
      </c>
    </row>
    <row r="673" spans="1:19" x14ac:dyDescent="0.3">
      <c r="A673" t="s">
        <v>1423</v>
      </c>
      <c r="B673" t="s">
        <v>1424</v>
      </c>
      <c r="C673" t="s">
        <v>89</v>
      </c>
      <c r="D673" t="s">
        <v>55</v>
      </c>
      <c r="E673" t="s">
        <v>31</v>
      </c>
      <c r="F673" t="s">
        <v>23</v>
      </c>
      <c r="G673" t="s">
        <v>43</v>
      </c>
      <c r="H673">
        <v>27</v>
      </c>
      <c r="I673" s="1">
        <v>44064</v>
      </c>
      <c r="J673" s="2">
        <v>181587</v>
      </c>
      <c r="K673" s="3">
        <v>0.38</v>
      </c>
      <c r="L673" t="s">
        <v>137</v>
      </c>
      <c r="M673" t="s">
        <v>289</v>
      </c>
      <c r="N673" s="2">
        <f>Employee_Data[[#This Row],[Basic Salary]]*10%</f>
        <v>1513.2250000000001</v>
      </c>
      <c r="O673" s="4">
        <f>Employee_Data[[#This Row],[Basic Salary]]*7.5%</f>
        <v>1134.91875</v>
      </c>
      <c r="P673" s="2">
        <f>Employee_Data[[#This Row],[Basic Salary]]*3%</f>
        <v>453.96749999999997</v>
      </c>
      <c r="Q673" s="2">
        <f>SUM(Employee_Data[[#This Row],[Basic Salary]],Employee_Data[[#This Row],[HRA]],Employee_Data[[#This Row],[MA]],Employee_Data[[#This Row],[TA]])</f>
        <v>18234.361249999998</v>
      </c>
      <c r="R673" s="4">
        <f>Employee_Data[[#This Row],[Basic Salary]]*12.5%</f>
        <v>1891.53125</v>
      </c>
      <c r="S673" s="2">
        <f>Employee_Data[[#This Row],[Annual Salary]]/12</f>
        <v>15132.25</v>
      </c>
    </row>
    <row r="674" spans="1:19" x14ac:dyDescent="0.3">
      <c r="A674" t="s">
        <v>1425</v>
      </c>
      <c r="B674" t="s">
        <v>1426</v>
      </c>
      <c r="C674" t="s">
        <v>89</v>
      </c>
      <c r="D674" t="s">
        <v>126</v>
      </c>
      <c r="E674" t="s">
        <v>56</v>
      </c>
      <c r="F674" t="s">
        <v>42</v>
      </c>
      <c r="G674" t="s">
        <v>24</v>
      </c>
      <c r="H674">
        <v>51</v>
      </c>
      <c r="I674" s="1">
        <v>36733</v>
      </c>
      <c r="J674" s="2">
        <v>199736</v>
      </c>
      <c r="K674" s="3">
        <v>0.35</v>
      </c>
      <c r="L674" t="s">
        <v>25</v>
      </c>
      <c r="M674" t="s">
        <v>48</v>
      </c>
      <c r="N674" s="2">
        <f>Employee_Data[[#This Row],[Basic Salary]]*10%</f>
        <v>1664.4666666666669</v>
      </c>
      <c r="O674" s="4">
        <f>Employee_Data[[#This Row],[Basic Salary]]*7.5%</f>
        <v>1248.3500000000001</v>
      </c>
      <c r="P674" s="2">
        <f>Employee_Data[[#This Row],[Basic Salary]]*3%</f>
        <v>499.34000000000003</v>
      </c>
      <c r="Q674" s="2">
        <f>SUM(Employee_Data[[#This Row],[Basic Salary]],Employee_Data[[#This Row],[HRA]],Employee_Data[[#This Row],[MA]],Employee_Data[[#This Row],[TA]])</f>
        <v>20056.823333333334</v>
      </c>
      <c r="R674" s="4">
        <f>Employee_Data[[#This Row],[Basic Salary]]*12.5%</f>
        <v>2080.5833333333335</v>
      </c>
      <c r="S674" s="2">
        <f>Employee_Data[[#This Row],[Annual Salary]]/12</f>
        <v>16644.666666666668</v>
      </c>
    </row>
    <row r="675" spans="1:19" x14ac:dyDescent="0.3">
      <c r="A675" t="s">
        <v>1427</v>
      </c>
      <c r="B675" t="s">
        <v>1428</v>
      </c>
      <c r="C675" t="s">
        <v>89</v>
      </c>
      <c r="D675" t="s">
        <v>55</v>
      </c>
      <c r="E675" t="s">
        <v>31</v>
      </c>
      <c r="F675" t="s">
        <v>23</v>
      </c>
      <c r="G675" t="s">
        <v>24</v>
      </c>
      <c r="H675">
        <v>45</v>
      </c>
      <c r="I675" s="1">
        <v>41646</v>
      </c>
      <c r="J675" s="2">
        <v>250639</v>
      </c>
      <c r="K675" s="3">
        <v>0.34</v>
      </c>
      <c r="L675" t="s">
        <v>37</v>
      </c>
      <c r="M675" t="s">
        <v>38</v>
      </c>
      <c r="N675" s="2">
        <f>Employee_Data[[#This Row],[Basic Salary]]*10%</f>
        <v>2088.6583333333333</v>
      </c>
      <c r="O675" s="4">
        <f>Employee_Data[[#This Row],[Basic Salary]]*7.5%</f>
        <v>1566.4937499999999</v>
      </c>
      <c r="P675" s="2">
        <f>Employee_Data[[#This Row],[Basic Salary]]*3%</f>
        <v>626.59749999999997</v>
      </c>
      <c r="Q675" s="2">
        <f>SUM(Employee_Data[[#This Row],[Basic Salary]],Employee_Data[[#This Row],[HRA]],Employee_Data[[#This Row],[MA]],Employee_Data[[#This Row],[TA]])</f>
        <v>25168.332916666666</v>
      </c>
      <c r="R675" s="4">
        <f>Employee_Data[[#This Row],[Basic Salary]]*12.5%</f>
        <v>2610.8229166666665</v>
      </c>
      <c r="S675" s="2">
        <f>Employee_Data[[#This Row],[Annual Salary]]/12</f>
        <v>20886.583333333332</v>
      </c>
    </row>
    <row r="676" spans="1:19" x14ac:dyDescent="0.3">
      <c r="A676" t="s">
        <v>1429</v>
      </c>
      <c r="B676" t="s">
        <v>1430</v>
      </c>
      <c r="C676" t="s">
        <v>405</v>
      </c>
      <c r="D676" t="s">
        <v>30</v>
      </c>
      <c r="E676" t="s">
        <v>31</v>
      </c>
      <c r="F676" t="s">
        <v>23</v>
      </c>
      <c r="G676" t="s">
        <v>43</v>
      </c>
      <c r="H676">
        <v>34</v>
      </c>
      <c r="I676" s="1">
        <v>44607</v>
      </c>
      <c r="J676" s="2">
        <v>80655</v>
      </c>
      <c r="K676" s="3">
        <v>0</v>
      </c>
      <c r="L676" t="s">
        <v>137</v>
      </c>
      <c r="M676" t="s">
        <v>183</v>
      </c>
      <c r="N676" s="2">
        <f>Employee_Data[[#This Row],[Basic Salary]]*10%</f>
        <v>672.125</v>
      </c>
      <c r="O676" s="4">
        <f>Employee_Data[[#This Row],[Basic Salary]]*7.5%</f>
        <v>504.09375</v>
      </c>
      <c r="P676" s="2">
        <f>Employee_Data[[#This Row],[Basic Salary]]*3%</f>
        <v>201.63749999999999</v>
      </c>
      <c r="Q676" s="2">
        <f>SUM(Employee_Data[[#This Row],[Basic Salary]],Employee_Data[[#This Row],[HRA]],Employee_Data[[#This Row],[MA]],Employee_Data[[#This Row],[TA]])</f>
        <v>8099.1062499999998</v>
      </c>
      <c r="R676" s="4">
        <f>Employee_Data[[#This Row],[Basic Salary]]*12.5%</f>
        <v>840.15625</v>
      </c>
      <c r="S676" s="2">
        <f>Employee_Data[[#This Row],[Annual Salary]]/12</f>
        <v>6721.25</v>
      </c>
    </row>
    <row r="677" spans="1:19" x14ac:dyDescent="0.3">
      <c r="A677" t="s">
        <v>1431</v>
      </c>
      <c r="B677" t="s">
        <v>1432</v>
      </c>
      <c r="C677" t="s">
        <v>60</v>
      </c>
      <c r="D677" t="s">
        <v>61</v>
      </c>
      <c r="E677" t="s">
        <v>36</v>
      </c>
      <c r="F677" t="s">
        <v>42</v>
      </c>
      <c r="G677" t="s">
        <v>24</v>
      </c>
      <c r="H677">
        <v>33</v>
      </c>
      <c r="I677" s="1">
        <v>44157</v>
      </c>
      <c r="J677" s="2">
        <v>64327</v>
      </c>
      <c r="K677" s="3">
        <v>0</v>
      </c>
      <c r="L677" t="s">
        <v>37</v>
      </c>
      <c r="M677" t="s">
        <v>57</v>
      </c>
      <c r="N677" s="2">
        <f>Employee_Data[[#This Row],[Basic Salary]]*10%</f>
        <v>536.05833333333328</v>
      </c>
      <c r="O677" s="4">
        <f>Employee_Data[[#This Row],[Basic Salary]]*7.5%</f>
        <v>402.04374999999999</v>
      </c>
      <c r="P677" s="2">
        <f>Employee_Data[[#This Row],[Basic Salary]]*3%</f>
        <v>160.8175</v>
      </c>
      <c r="Q677" s="2">
        <f>SUM(Employee_Data[[#This Row],[Basic Salary]],Employee_Data[[#This Row],[HRA]],Employee_Data[[#This Row],[MA]],Employee_Data[[#This Row],[TA]])</f>
        <v>6459.5029166666664</v>
      </c>
      <c r="R677" s="4">
        <f>Employee_Data[[#This Row],[Basic Salary]]*12.5%</f>
        <v>670.07291666666663</v>
      </c>
      <c r="S677" s="2">
        <f>Employee_Data[[#This Row],[Annual Salary]]/12</f>
        <v>5360.583333333333</v>
      </c>
    </row>
    <row r="678" spans="1:19" x14ac:dyDescent="0.3">
      <c r="A678" t="s">
        <v>1433</v>
      </c>
      <c r="B678" t="s">
        <v>1434</v>
      </c>
      <c r="C678" t="s">
        <v>60</v>
      </c>
      <c r="D678" t="s">
        <v>55</v>
      </c>
      <c r="E678" t="s">
        <v>36</v>
      </c>
      <c r="F678" t="s">
        <v>42</v>
      </c>
      <c r="G678" t="s">
        <v>66</v>
      </c>
      <c r="H678">
        <v>37</v>
      </c>
      <c r="I678" s="1">
        <v>43412</v>
      </c>
      <c r="J678" s="2">
        <v>72005</v>
      </c>
      <c r="K678" s="3">
        <v>0</v>
      </c>
      <c r="L678" t="s">
        <v>25</v>
      </c>
      <c r="M678" t="s">
        <v>48</v>
      </c>
      <c r="N678" s="2">
        <f>Employee_Data[[#This Row],[Basic Salary]]*10%</f>
        <v>600.04166666666674</v>
      </c>
      <c r="O678" s="4">
        <f>Employee_Data[[#This Row],[Basic Salary]]*7.5%</f>
        <v>450.03125</v>
      </c>
      <c r="P678" s="2">
        <f>Employee_Data[[#This Row],[Basic Salary]]*3%</f>
        <v>180.01249999999999</v>
      </c>
      <c r="Q678" s="2">
        <f>SUM(Employee_Data[[#This Row],[Basic Salary]],Employee_Data[[#This Row],[HRA]],Employee_Data[[#This Row],[MA]],Employee_Data[[#This Row],[TA]])</f>
        <v>7230.5020833333338</v>
      </c>
      <c r="R678" s="4">
        <f>Employee_Data[[#This Row],[Basic Salary]]*12.5%</f>
        <v>750.05208333333337</v>
      </c>
      <c r="S678" s="2">
        <f>Employee_Data[[#This Row],[Annual Salary]]/12</f>
        <v>6000.416666666667</v>
      </c>
    </row>
    <row r="679" spans="1:19" x14ac:dyDescent="0.3">
      <c r="A679" t="s">
        <v>1435</v>
      </c>
      <c r="B679" t="s">
        <v>1436</v>
      </c>
      <c r="C679" t="s">
        <v>413</v>
      </c>
      <c r="D679" t="s">
        <v>21</v>
      </c>
      <c r="E679" t="s">
        <v>56</v>
      </c>
      <c r="F679" t="s">
        <v>42</v>
      </c>
      <c r="G679" t="s">
        <v>24</v>
      </c>
      <c r="H679">
        <v>56</v>
      </c>
      <c r="I679" s="1">
        <v>41024</v>
      </c>
      <c r="J679" s="2">
        <v>62497</v>
      </c>
      <c r="K679" s="3">
        <v>0</v>
      </c>
      <c r="L679" t="s">
        <v>25</v>
      </c>
      <c r="M679" t="s">
        <v>44</v>
      </c>
      <c r="N679" s="2">
        <f>Employee_Data[[#This Row],[Basic Salary]]*10%</f>
        <v>520.80833333333328</v>
      </c>
      <c r="O679" s="4">
        <f>Employee_Data[[#This Row],[Basic Salary]]*7.5%</f>
        <v>390.60624999999999</v>
      </c>
      <c r="P679" s="2">
        <f>Employee_Data[[#This Row],[Basic Salary]]*3%</f>
        <v>156.24249999999998</v>
      </c>
      <c r="Q679" s="2">
        <f>SUM(Employee_Data[[#This Row],[Basic Salary]],Employee_Data[[#This Row],[HRA]],Employee_Data[[#This Row],[MA]],Employee_Data[[#This Row],[TA]])</f>
        <v>6275.7404166666665</v>
      </c>
      <c r="R679" s="4">
        <f>Employee_Data[[#This Row],[Basic Salary]]*12.5%</f>
        <v>651.01041666666663</v>
      </c>
      <c r="S679" s="2">
        <f>Employee_Data[[#This Row],[Annual Salary]]/12</f>
        <v>5208.083333333333</v>
      </c>
    </row>
    <row r="680" spans="1:19" x14ac:dyDescent="0.3">
      <c r="A680" t="s">
        <v>1437</v>
      </c>
      <c r="B680" t="s">
        <v>1438</v>
      </c>
      <c r="C680" t="s">
        <v>405</v>
      </c>
      <c r="D680" t="s">
        <v>30</v>
      </c>
      <c r="E680" t="s">
        <v>36</v>
      </c>
      <c r="F680" t="s">
        <v>23</v>
      </c>
      <c r="G680" t="s">
        <v>66</v>
      </c>
      <c r="H680">
        <v>46</v>
      </c>
      <c r="I680" s="1">
        <v>37676</v>
      </c>
      <c r="J680" s="2">
        <v>74912</v>
      </c>
      <c r="K680" s="3">
        <v>0</v>
      </c>
      <c r="L680" t="s">
        <v>25</v>
      </c>
      <c r="M680" t="s">
        <v>51</v>
      </c>
      <c r="N680" s="2">
        <f>Employee_Data[[#This Row],[Basic Salary]]*10%</f>
        <v>624.26666666666677</v>
      </c>
      <c r="O680" s="4">
        <f>Employee_Data[[#This Row],[Basic Salary]]*7.5%</f>
        <v>468.2</v>
      </c>
      <c r="P680" s="2">
        <f>Employee_Data[[#This Row],[Basic Salary]]*3%</f>
        <v>187.28</v>
      </c>
      <c r="Q680" s="2">
        <f>SUM(Employee_Data[[#This Row],[Basic Salary]],Employee_Data[[#This Row],[HRA]],Employee_Data[[#This Row],[MA]],Employee_Data[[#This Row],[TA]])</f>
        <v>7522.413333333333</v>
      </c>
      <c r="R680" s="4">
        <f>Employee_Data[[#This Row],[Basic Salary]]*12.5%</f>
        <v>780.33333333333337</v>
      </c>
      <c r="S680" s="2">
        <f>Employee_Data[[#This Row],[Annual Salary]]/12</f>
        <v>6242.666666666667</v>
      </c>
    </row>
    <row r="681" spans="1:19" x14ac:dyDescent="0.3">
      <c r="A681" t="s">
        <v>1439</v>
      </c>
      <c r="B681" t="s">
        <v>1440</v>
      </c>
      <c r="C681" t="s">
        <v>131</v>
      </c>
      <c r="D681" t="s">
        <v>126</v>
      </c>
      <c r="E681" t="s">
        <v>56</v>
      </c>
      <c r="F681" t="s">
        <v>23</v>
      </c>
      <c r="G681" t="s">
        <v>66</v>
      </c>
      <c r="H681">
        <v>45</v>
      </c>
      <c r="I681" s="1">
        <v>36969</v>
      </c>
      <c r="J681" s="2">
        <v>50393</v>
      </c>
      <c r="K681" s="3">
        <v>0</v>
      </c>
      <c r="L681" t="s">
        <v>25</v>
      </c>
      <c r="M681" t="s">
        <v>70</v>
      </c>
      <c r="N681" s="2">
        <f>Employee_Data[[#This Row],[Basic Salary]]*10%</f>
        <v>419.94166666666672</v>
      </c>
      <c r="O681" s="4">
        <f>Employee_Data[[#This Row],[Basic Salary]]*7.5%</f>
        <v>314.95625000000001</v>
      </c>
      <c r="P681" s="2">
        <f>Employee_Data[[#This Row],[Basic Salary]]*3%</f>
        <v>125.9825</v>
      </c>
      <c r="Q681" s="2">
        <f>SUM(Employee_Data[[#This Row],[Basic Salary]],Employee_Data[[#This Row],[HRA]],Employee_Data[[#This Row],[MA]],Employee_Data[[#This Row],[TA]])</f>
        <v>5060.2970833333338</v>
      </c>
      <c r="R681" s="4">
        <f>Employee_Data[[#This Row],[Basic Salary]]*12.5%</f>
        <v>524.92708333333337</v>
      </c>
      <c r="S681" s="2">
        <f>Employee_Data[[#This Row],[Annual Salary]]/12</f>
        <v>4199.416666666667</v>
      </c>
    </row>
    <row r="682" spans="1:19" x14ac:dyDescent="0.3">
      <c r="A682" t="s">
        <v>1441</v>
      </c>
      <c r="B682" t="s">
        <v>1442</v>
      </c>
      <c r="C682" t="s">
        <v>173</v>
      </c>
      <c r="D682" t="s">
        <v>4</v>
      </c>
      <c r="E682" t="s">
        <v>22</v>
      </c>
      <c r="F682" t="s">
        <v>23</v>
      </c>
      <c r="G682" t="s">
        <v>43</v>
      </c>
      <c r="H682">
        <v>32</v>
      </c>
      <c r="I682" s="1">
        <v>44330</v>
      </c>
      <c r="J682" s="2">
        <v>79670</v>
      </c>
      <c r="K682" s="3">
        <v>0</v>
      </c>
      <c r="L682" t="s">
        <v>25</v>
      </c>
      <c r="M682" t="s">
        <v>26</v>
      </c>
      <c r="N682" s="2">
        <f>Employee_Data[[#This Row],[Basic Salary]]*10%</f>
        <v>663.91666666666674</v>
      </c>
      <c r="O682" s="4">
        <f>Employee_Data[[#This Row],[Basic Salary]]*7.5%</f>
        <v>497.9375</v>
      </c>
      <c r="P682" s="2">
        <f>Employee_Data[[#This Row],[Basic Salary]]*3%</f>
        <v>199.17500000000001</v>
      </c>
      <c r="Q682" s="2">
        <f>SUM(Employee_Data[[#This Row],[Basic Salary]],Employee_Data[[#This Row],[HRA]],Employee_Data[[#This Row],[MA]],Employee_Data[[#This Row],[TA]])</f>
        <v>8000.1958333333341</v>
      </c>
      <c r="R682" s="4">
        <f>Employee_Data[[#This Row],[Basic Salary]]*12.5%</f>
        <v>829.89583333333337</v>
      </c>
      <c r="S682" s="2">
        <f>Employee_Data[[#This Row],[Annual Salary]]/12</f>
        <v>6639.166666666667</v>
      </c>
    </row>
    <row r="683" spans="1:19" x14ac:dyDescent="0.3">
      <c r="A683" t="s">
        <v>1443</v>
      </c>
      <c r="B683" t="s">
        <v>1444</v>
      </c>
      <c r="C683" t="s">
        <v>83</v>
      </c>
      <c r="D683" t="s">
        <v>55</v>
      </c>
      <c r="E683" t="s">
        <v>31</v>
      </c>
      <c r="F683" t="s">
        <v>42</v>
      </c>
      <c r="G683" t="s">
        <v>84</v>
      </c>
      <c r="H683">
        <v>51</v>
      </c>
      <c r="I683" s="1">
        <v>36214</v>
      </c>
      <c r="J683" s="2">
        <v>148942</v>
      </c>
      <c r="K683" s="3">
        <v>0.13</v>
      </c>
      <c r="L683" t="s">
        <v>25</v>
      </c>
      <c r="M683" t="s">
        <v>26</v>
      </c>
      <c r="N683" s="2">
        <f>Employee_Data[[#This Row],[Basic Salary]]*10%</f>
        <v>1241.1833333333334</v>
      </c>
      <c r="O683" s="4">
        <f>Employee_Data[[#This Row],[Basic Salary]]*7.5%</f>
        <v>930.88750000000005</v>
      </c>
      <c r="P683" s="2">
        <f>Employee_Data[[#This Row],[Basic Salary]]*3%</f>
        <v>372.35500000000002</v>
      </c>
      <c r="Q683" s="2">
        <f>SUM(Employee_Data[[#This Row],[Basic Salary]],Employee_Data[[#This Row],[HRA]],Employee_Data[[#This Row],[MA]],Employee_Data[[#This Row],[TA]])</f>
        <v>14956.259166666667</v>
      </c>
      <c r="R683" s="4">
        <f>Employee_Data[[#This Row],[Basic Salary]]*12.5%</f>
        <v>1551.4791666666667</v>
      </c>
      <c r="S683" s="2">
        <f>Employee_Data[[#This Row],[Annual Salary]]/12</f>
        <v>12411.833333333334</v>
      </c>
    </row>
    <row r="684" spans="1:19" x14ac:dyDescent="0.3">
      <c r="A684" t="s">
        <v>1445</v>
      </c>
      <c r="B684" t="s">
        <v>1446</v>
      </c>
      <c r="C684" t="s">
        <v>94</v>
      </c>
      <c r="D684" t="s">
        <v>4</v>
      </c>
      <c r="E684" t="s">
        <v>36</v>
      </c>
      <c r="F684" t="s">
        <v>23</v>
      </c>
      <c r="G684" t="s">
        <v>66</v>
      </c>
      <c r="H684">
        <v>29</v>
      </c>
      <c r="I684" s="1">
        <v>43199</v>
      </c>
      <c r="J684" s="2">
        <v>98504</v>
      </c>
      <c r="K684" s="3">
        <v>0</v>
      </c>
      <c r="L684" t="s">
        <v>25</v>
      </c>
      <c r="M684" t="s">
        <v>70</v>
      </c>
      <c r="N684" s="2">
        <f>Employee_Data[[#This Row],[Basic Salary]]*10%</f>
        <v>820.86666666666667</v>
      </c>
      <c r="O684" s="4">
        <f>Employee_Data[[#This Row],[Basic Salary]]*7.5%</f>
        <v>615.65</v>
      </c>
      <c r="P684" s="2">
        <f>Employee_Data[[#This Row],[Basic Salary]]*3%</f>
        <v>246.25999999999996</v>
      </c>
      <c r="Q684" s="2">
        <f>SUM(Employee_Data[[#This Row],[Basic Salary]],Employee_Data[[#This Row],[HRA]],Employee_Data[[#This Row],[MA]],Employee_Data[[#This Row],[TA]])</f>
        <v>9891.4433333333327</v>
      </c>
      <c r="R684" s="4">
        <f>Employee_Data[[#This Row],[Basic Salary]]*12.5%</f>
        <v>1026.0833333333333</v>
      </c>
      <c r="S684" s="2">
        <f>Employee_Data[[#This Row],[Annual Salary]]/12</f>
        <v>8208.6666666666661</v>
      </c>
    </row>
    <row r="685" spans="1:19" x14ac:dyDescent="0.3">
      <c r="A685" t="s">
        <v>1447</v>
      </c>
      <c r="B685" t="s">
        <v>1448</v>
      </c>
      <c r="C685" t="s">
        <v>94</v>
      </c>
      <c r="D685" t="s">
        <v>4</v>
      </c>
      <c r="E685" t="s">
        <v>22</v>
      </c>
      <c r="F685" t="s">
        <v>23</v>
      </c>
      <c r="G685" t="s">
        <v>66</v>
      </c>
      <c r="H685">
        <v>38</v>
      </c>
      <c r="I685" s="1">
        <v>42358</v>
      </c>
      <c r="J685" s="2">
        <v>70588</v>
      </c>
      <c r="K685" s="3">
        <v>0</v>
      </c>
      <c r="L685" t="s">
        <v>25</v>
      </c>
      <c r="M685" t="s">
        <v>70</v>
      </c>
      <c r="N685" s="2">
        <f>Employee_Data[[#This Row],[Basic Salary]]*10%</f>
        <v>588.23333333333335</v>
      </c>
      <c r="O685" s="4">
        <f>Employee_Data[[#This Row],[Basic Salary]]*7.5%</f>
        <v>441.17499999999995</v>
      </c>
      <c r="P685" s="2">
        <f>Employee_Data[[#This Row],[Basic Salary]]*3%</f>
        <v>176.46999999999997</v>
      </c>
      <c r="Q685" s="2">
        <f>SUM(Employee_Data[[#This Row],[Basic Salary]],Employee_Data[[#This Row],[HRA]],Employee_Data[[#This Row],[MA]],Employee_Data[[#This Row],[TA]])</f>
        <v>7088.211666666667</v>
      </c>
      <c r="R685" s="4">
        <f>Employee_Data[[#This Row],[Basic Salary]]*12.5%</f>
        <v>735.29166666666663</v>
      </c>
      <c r="S685" s="2">
        <f>Employee_Data[[#This Row],[Annual Salary]]/12</f>
        <v>5882.333333333333</v>
      </c>
    </row>
    <row r="686" spans="1:19" x14ac:dyDescent="0.3">
      <c r="A686" t="s">
        <v>1449</v>
      </c>
      <c r="B686" t="s">
        <v>1450</v>
      </c>
      <c r="C686" t="s">
        <v>29</v>
      </c>
      <c r="D686" t="s">
        <v>55</v>
      </c>
      <c r="E686" t="s">
        <v>31</v>
      </c>
      <c r="F686" t="s">
        <v>42</v>
      </c>
      <c r="G686" t="s">
        <v>66</v>
      </c>
      <c r="H686">
        <v>58</v>
      </c>
      <c r="I686" s="1">
        <v>37216</v>
      </c>
      <c r="J686" s="2">
        <v>58336</v>
      </c>
      <c r="K686" s="3">
        <v>0</v>
      </c>
      <c r="L686" t="s">
        <v>25</v>
      </c>
      <c r="M686" t="s">
        <v>70</v>
      </c>
      <c r="N686" s="2">
        <f>Employee_Data[[#This Row],[Basic Salary]]*10%</f>
        <v>486.13333333333333</v>
      </c>
      <c r="O686" s="4">
        <f>Employee_Data[[#This Row],[Basic Salary]]*7.5%</f>
        <v>364.59999999999997</v>
      </c>
      <c r="P686" s="2">
        <f>Employee_Data[[#This Row],[Basic Salary]]*3%</f>
        <v>145.83999999999997</v>
      </c>
      <c r="Q686" s="2">
        <f>SUM(Employee_Data[[#This Row],[Basic Salary]],Employee_Data[[#This Row],[HRA]],Employee_Data[[#This Row],[MA]],Employee_Data[[#This Row],[TA]])</f>
        <v>5857.9066666666668</v>
      </c>
      <c r="R686" s="4">
        <f>Employee_Data[[#This Row],[Basic Salary]]*12.5%</f>
        <v>607.66666666666663</v>
      </c>
      <c r="S686" s="2">
        <f>Employee_Data[[#This Row],[Annual Salary]]/12</f>
        <v>4861.333333333333</v>
      </c>
    </row>
    <row r="687" spans="1:19" x14ac:dyDescent="0.3">
      <c r="A687" t="s">
        <v>1451</v>
      </c>
      <c r="B687" t="s">
        <v>1452</v>
      </c>
      <c r="C687" t="s">
        <v>408</v>
      </c>
      <c r="D687" t="s">
        <v>21</v>
      </c>
      <c r="E687" t="s">
        <v>31</v>
      </c>
      <c r="F687" t="s">
        <v>42</v>
      </c>
      <c r="G687" t="s">
        <v>24</v>
      </c>
      <c r="H687">
        <v>45</v>
      </c>
      <c r="I687" s="1">
        <v>40795</v>
      </c>
      <c r="J687" s="2">
        <v>86001</v>
      </c>
      <c r="K687" s="3">
        <v>0</v>
      </c>
      <c r="L687" t="s">
        <v>25</v>
      </c>
      <c r="M687" t="s">
        <v>48</v>
      </c>
      <c r="N687" s="2">
        <f>Employee_Data[[#This Row],[Basic Salary]]*10%</f>
        <v>716.67500000000007</v>
      </c>
      <c r="O687" s="4">
        <f>Employee_Data[[#This Row],[Basic Salary]]*7.5%</f>
        <v>537.50625000000002</v>
      </c>
      <c r="P687" s="2">
        <f>Employee_Data[[#This Row],[Basic Salary]]*3%</f>
        <v>215.0025</v>
      </c>
      <c r="Q687" s="2">
        <f>SUM(Employee_Data[[#This Row],[Basic Salary]],Employee_Data[[#This Row],[HRA]],Employee_Data[[#This Row],[MA]],Employee_Data[[#This Row],[TA]])</f>
        <v>8635.9337500000001</v>
      </c>
      <c r="R687" s="4">
        <f>Employee_Data[[#This Row],[Basic Salary]]*12.5%</f>
        <v>895.84375</v>
      </c>
      <c r="S687" s="2">
        <f>Employee_Data[[#This Row],[Annual Salary]]/12</f>
        <v>7166.75</v>
      </c>
    </row>
    <row r="688" spans="1:19" x14ac:dyDescent="0.3">
      <c r="A688" t="s">
        <v>1453</v>
      </c>
      <c r="B688" t="s">
        <v>1454</v>
      </c>
      <c r="C688" t="s">
        <v>54</v>
      </c>
      <c r="D688" t="s">
        <v>30</v>
      </c>
      <c r="E688" t="s">
        <v>56</v>
      </c>
      <c r="F688" t="s">
        <v>23</v>
      </c>
      <c r="G688" t="s">
        <v>24</v>
      </c>
      <c r="H688">
        <v>49</v>
      </c>
      <c r="I688" s="1">
        <v>42260</v>
      </c>
      <c r="J688" s="2">
        <v>91121</v>
      </c>
      <c r="K688" s="3">
        <v>0</v>
      </c>
      <c r="L688" t="s">
        <v>25</v>
      </c>
      <c r="M688" t="s">
        <v>44</v>
      </c>
      <c r="N688" s="2">
        <f>Employee_Data[[#This Row],[Basic Salary]]*10%</f>
        <v>759.3416666666667</v>
      </c>
      <c r="O688" s="4">
        <f>Employee_Data[[#This Row],[Basic Salary]]*7.5%</f>
        <v>569.50625000000002</v>
      </c>
      <c r="P688" s="2">
        <f>Employee_Data[[#This Row],[Basic Salary]]*3%</f>
        <v>227.80250000000001</v>
      </c>
      <c r="Q688" s="2">
        <f>SUM(Employee_Data[[#This Row],[Basic Salary]],Employee_Data[[#This Row],[HRA]],Employee_Data[[#This Row],[MA]],Employee_Data[[#This Row],[TA]])</f>
        <v>9150.0670833333334</v>
      </c>
      <c r="R688" s="4">
        <f>Employee_Data[[#This Row],[Basic Salary]]*12.5%</f>
        <v>949.17708333333337</v>
      </c>
      <c r="S688" s="2">
        <f>Employee_Data[[#This Row],[Annual Salary]]/12</f>
        <v>7593.416666666667</v>
      </c>
    </row>
    <row r="689" spans="1:19" x14ac:dyDescent="0.3">
      <c r="A689" t="s">
        <v>1455</v>
      </c>
      <c r="B689" t="s">
        <v>1456</v>
      </c>
      <c r="C689" t="s">
        <v>47</v>
      </c>
      <c r="D689" t="s">
        <v>126</v>
      </c>
      <c r="E689" t="s">
        <v>31</v>
      </c>
      <c r="F689" t="s">
        <v>42</v>
      </c>
      <c r="G689" t="s">
        <v>24</v>
      </c>
      <c r="H689">
        <v>50</v>
      </c>
      <c r="I689" s="1">
        <v>40785</v>
      </c>
      <c r="J689" s="2">
        <v>183308</v>
      </c>
      <c r="K689" s="3">
        <v>0.24</v>
      </c>
      <c r="L689" t="s">
        <v>25</v>
      </c>
      <c r="M689" t="s">
        <v>70</v>
      </c>
      <c r="N689" s="2">
        <f>Employee_Data[[#This Row],[Basic Salary]]*10%</f>
        <v>1527.5666666666666</v>
      </c>
      <c r="O689" s="4">
        <f>Employee_Data[[#This Row],[Basic Salary]]*7.5%</f>
        <v>1145.675</v>
      </c>
      <c r="P689" s="2">
        <f>Employee_Data[[#This Row],[Basic Salary]]*3%</f>
        <v>458.27</v>
      </c>
      <c r="Q689" s="2">
        <f>SUM(Employee_Data[[#This Row],[Basic Salary]],Employee_Data[[#This Row],[HRA]],Employee_Data[[#This Row],[MA]],Employee_Data[[#This Row],[TA]])</f>
        <v>18407.178333333333</v>
      </c>
      <c r="R689" s="4">
        <f>Employee_Data[[#This Row],[Basic Salary]]*12.5%</f>
        <v>1909.4583333333333</v>
      </c>
      <c r="S689" s="2">
        <f>Employee_Data[[#This Row],[Annual Salary]]/12</f>
        <v>15275.666666666666</v>
      </c>
    </row>
    <row r="690" spans="1:19" x14ac:dyDescent="0.3">
      <c r="A690" t="s">
        <v>1457</v>
      </c>
      <c r="B690" t="s">
        <v>1458</v>
      </c>
      <c r="C690" t="s">
        <v>380</v>
      </c>
      <c r="D690" t="s">
        <v>4</v>
      </c>
      <c r="E690" t="s">
        <v>22</v>
      </c>
      <c r="F690" t="s">
        <v>23</v>
      </c>
      <c r="G690" t="s">
        <v>66</v>
      </c>
      <c r="H690">
        <v>32</v>
      </c>
      <c r="I690" s="1">
        <v>44260</v>
      </c>
      <c r="J690" s="2">
        <v>71674</v>
      </c>
      <c r="K690" s="3">
        <v>0</v>
      </c>
      <c r="L690" t="s">
        <v>25</v>
      </c>
      <c r="M690" t="s">
        <v>32</v>
      </c>
      <c r="N690" s="2">
        <f>Employee_Data[[#This Row],[Basic Salary]]*10%</f>
        <v>597.2833333333333</v>
      </c>
      <c r="O690" s="4">
        <f>Employee_Data[[#This Row],[Basic Salary]]*7.5%</f>
        <v>447.96249999999998</v>
      </c>
      <c r="P690" s="2">
        <f>Employee_Data[[#This Row],[Basic Salary]]*3%</f>
        <v>179.18499999999997</v>
      </c>
      <c r="Q690" s="2">
        <f>SUM(Employee_Data[[#This Row],[Basic Salary]],Employee_Data[[#This Row],[HRA]],Employee_Data[[#This Row],[MA]],Employee_Data[[#This Row],[TA]])</f>
        <v>7197.2641666666668</v>
      </c>
      <c r="R690" s="4">
        <f>Employee_Data[[#This Row],[Basic Salary]]*12.5%</f>
        <v>746.60416666666663</v>
      </c>
      <c r="S690" s="2">
        <f>Employee_Data[[#This Row],[Annual Salary]]/12</f>
        <v>5972.833333333333</v>
      </c>
    </row>
    <row r="691" spans="1:19" x14ac:dyDescent="0.3">
      <c r="A691" t="s">
        <v>1459</v>
      </c>
      <c r="B691" t="s">
        <v>1460</v>
      </c>
      <c r="C691" t="s">
        <v>198</v>
      </c>
      <c r="D691" t="s">
        <v>21</v>
      </c>
      <c r="E691" t="s">
        <v>22</v>
      </c>
      <c r="F691" t="s">
        <v>23</v>
      </c>
      <c r="G691" t="s">
        <v>24</v>
      </c>
      <c r="H691">
        <v>29</v>
      </c>
      <c r="I691" s="1">
        <v>42738</v>
      </c>
      <c r="J691" s="2">
        <v>118639</v>
      </c>
      <c r="K691" s="3">
        <v>0</v>
      </c>
      <c r="L691" t="s">
        <v>25</v>
      </c>
      <c r="M691" t="s">
        <v>51</v>
      </c>
      <c r="N691" s="2">
        <f>Employee_Data[[#This Row],[Basic Salary]]*10%</f>
        <v>988.65833333333342</v>
      </c>
      <c r="O691" s="4">
        <f>Employee_Data[[#This Row],[Basic Salary]]*7.5%</f>
        <v>741.49374999999998</v>
      </c>
      <c r="P691" s="2">
        <f>Employee_Data[[#This Row],[Basic Salary]]*3%</f>
        <v>296.59750000000003</v>
      </c>
      <c r="Q691" s="2">
        <f>SUM(Employee_Data[[#This Row],[Basic Salary]],Employee_Data[[#This Row],[HRA]],Employee_Data[[#This Row],[MA]],Employee_Data[[#This Row],[TA]])</f>
        <v>11913.332916666666</v>
      </c>
      <c r="R691" s="4">
        <f>Employee_Data[[#This Row],[Basic Salary]]*12.5%</f>
        <v>1235.8229166666667</v>
      </c>
      <c r="S691" s="2">
        <f>Employee_Data[[#This Row],[Annual Salary]]/12</f>
        <v>9886.5833333333339</v>
      </c>
    </row>
    <row r="692" spans="1:19" x14ac:dyDescent="0.3">
      <c r="A692" t="s">
        <v>1461</v>
      </c>
      <c r="B692" t="s">
        <v>1462</v>
      </c>
      <c r="C692" t="s">
        <v>173</v>
      </c>
      <c r="D692" t="s">
        <v>4</v>
      </c>
      <c r="E692" t="s">
        <v>31</v>
      </c>
      <c r="F692" t="s">
        <v>23</v>
      </c>
      <c r="G692" t="s">
        <v>24</v>
      </c>
      <c r="H692">
        <v>34</v>
      </c>
      <c r="I692" s="1">
        <v>43414</v>
      </c>
      <c r="J692" s="2">
        <v>71808</v>
      </c>
      <c r="K692" s="3">
        <v>0</v>
      </c>
      <c r="L692" t="s">
        <v>37</v>
      </c>
      <c r="M692" t="s">
        <v>62</v>
      </c>
      <c r="N692" s="2">
        <f>Employee_Data[[#This Row],[Basic Salary]]*10%</f>
        <v>598.4</v>
      </c>
      <c r="O692" s="4">
        <f>Employee_Data[[#This Row],[Basic Salary]]*7.5%</f>
        <v>448.8</v>
      </c>
      <c r="P692" s="2">
        <f>Employee_Data[[#This Row],[Basic Salary]]*3%</f>
        <v>179.51999999999998</v>
      </c>
      <c r="Q692" s="2">
        <f>SUM(Employee_Data[[#This Row],[Basic Salary]],Employee_Data[[#This Row],[HRA]],Employee_Data[[#This Row],[MA]],Employee_Data[[#This Row],[TA]])</f>
        <v>7210.7199999999993</v>
      </c>
      <c r="R692" s="4">
        <f>Employee_Data[[#This Row],[Basic Salary]]*12.5%</f>
        <v>748</v>
      </c>
      <c r="S692" s="2">
        <f>Employee_Data[[#This Row],[Annual Salary]]/12</f>
        <v>5984</v>
      </c>
    </row>
    <row r="693" spans="1:19" x14ac:dyDescent="0.3">
      <c r="A693" t="s">
        <v>1463</v>
      </c>
      <c r="B693" t="s">
        <v>1464</v>
      </c>
      <c r="C693" t="s">
        <v>83</v>
      </c>
      <c r="D693" t="s">
        <v>126</v>
      </c>
      <c r="E693" t="s">
        <v>22</v>
      </c>
      <c r="F693" t="s">
        <v>23</v>
      </c>
      <c r="G693" t="s">
        <v>24</v>
      </c>
      <c r="H693">
        <v>50</v>
      </c>
      <c r="I693" s="1">
        <v>43611</v>
      </c>
      <c r="J693" s="2">
        <v>156374</v>
      </c>
      <c r="K693" s="3">
        <v>0.15</v>
      </c>
      <c r="L693" t="s">
        <v>37</v>
      </c>
      <c r="M693" t="s">
        <v>111</v>
      </c>
      <c r="N693" s="2">
        <f>Employee_Data[[#This Row],[Basic Salary]]*10%</f>
        <v>1303.1166666666668</v>
      </c>
      <c r="O693" s="4">
        <f>Employee_Data[[#This Row],[Basic Salary]]*7.5%</f>
        <v>977.33749999999986</v>
      </c>
      <c r="P693" s="2">
        <f>Employee_Data[[#This Row],[Basic Salary]]*3%</f>
        <v>390.93499999999995</v>
      </c>
      <c r="Q693" s="2">
        <f>SUM(Employee_Data[[#This Row],[Basic Salary]],Employee_Data[[#This Row],[HRA]],Employee_Data[[#This Row],[MA]],Employee_Data[[#This Row],[TA]])</f>
        <v>15702.555833333332</v>
      </c>
      <c r="R693" s="4">
        <f>Employee_Data[[#This Row],[Basic Salary]]*12.5%</f>
        <v>1628.8958333333333</v>
      </c>
      <c r="S693" s="2">
        <f>Employee_Data[[#This Row],[Annual Salary]]/12</f>
        <v>13031.166666666666</v>
      </c>
    </row>
    <row r="694" spans="1:19" x14ac:dyDescent="0.3">
      <c r="A694" t="s">
        <v>1465</v>
      </c>
      <c r="B694" t="s">
        <v>1466</v>
      </c>
      <c r="C694" t="s">
        <v>73</v>
      </c>
      <c r="D694" t="s">
        <v>4</v>
      </c>
      <c r="E694" t="s">
        <v>22</v>
      </c>
      <c r="F694" t="s">
        <v>42</v>
      </c>
      <c r="G694" t="s">
        <v>24</v>
      </c>
      <c r="H694">
        <v>27</v>
      </c>
      <c r="I694" s="1">
        <v>44265</v>
      </c>
      <c r="J694" s="2">
        <v>51133</v>
      </c>
      <c r="K694" s="3">
        <v>0</v>
      </c>
      <c r="L694" t="s">
        <v>25</v>
      </c>
      <c r="M694" t="s">
        <v>32</v>
      </c>
      <c r="N694" s="2">
        <f>Employee_Data[[#This Row],[Basic Salary]]*10%</f>
        <v>426.10833333333335</v>
      </c>
      <c r="O694" s="4">
        <f>Employee_Data[[#This Row],[Basic Salary]]*7.5%</f>
        <v>319.58124999999995</v>
      </c>
      <c r="P694" s="2">
        <f>Employee_Data[[#This Row],[Basic Salary]]*3%</f>
        <v>127.83249999999998</v>
      </c>
      <c r="Q694" s="2">
        <f>SUM(Employee_Data[[#This Row],[Basic Salary]],Employee_Data[[#This Row],[HRA]],Employee_Data[[#This Row],[MA]],Employee_Data[[#This Row],[TA]])</f>
        <v>5134.6054166666672</v>
      </c>
      <c r="R694" s="4">
        <f>Employee_Data[[#This Row],[Basic Salary]]*12.5%</f>
        <v>532.63541666666663</v>
      </c>
      <c r="S694" s="2">
        <f>Employee_Data[[#This Row],[Annual Salary]]/12</f>
        <v>4261.083333333333</v>
      </c>
    </row>
    <row r="695" spans="1:19" x14ac:dyDescent="0.3">
      <c r="A695" t="s">
        <v>1467</v>
      </c>
      <c r="B695" t="s">
        <v>1468</v>
      </c>
      <c r="C695" t="s">
        <v>413</v>
      </c>
      <c r="D695" t="s">
        <v>21</v>
      </c>
      <c r="E695" t="s">
        <v>56</v>
      </c>
      <c r="F695" t="s">
        <v>23</v>
      </c>
      <c r="G695" t="s">
        <v>43</v>
      </c>
      <c r="H695">
        <v>60</v>
      </c>
      <c r="I695" s="1">
        <v>39624</v>
      </c>
      <c r="J695" s="2">
        <v>86761</v>
      </c>
      <c r="K695" s="3">
        <v>0</v>
      </c>
      <c r="L695" t="s">
        <v>137</v>
      </c>
      <c r="M695" t="s">
        <v>138</v>
      </c>
      <c r="N695" s="2">
        <f>Employee_Data[[#This Row],[Basic Salary]]*10%</f>
        <v>723.00833333333333</v>
      </c>
      <c r="O695" s="4">
        <f>Employee_Data[[#This Row],[Basic Salary]]*7.5%</f>
        <v>542.25624999999991</v>
      </c>
      <c r="P695" s="2">
        <f>Employee_Data[[#This Row],[Basic Salary]]*3%</f>
        <v>216.90249999999997</v>
      </c>
      <c r="Q695" s="2">
        <f>SUM(Employee_Data[[#This Row],[Basic Salary]],Employee_Data[[#This Row],[HRA]],Employee_Data[[#This Row],[MA]],Employee_Data[[#This Row],[TA]])</f>
        <v>8712.2504166666658</v>
      </c>
      <c r="R695" s="4">
        <f>Employee_Data[[#This Row],[Basic Salary]]*12.5%</f>
        <v>903.76041666666663</v>
      </c>
      <c r="S695" s="2">
        <f>Employee_Data[[#This Row],[Annual Salary]]/12</f>
        <v>7230.083333333333</v>
      </c>
    </row>
    <row r="696" spans="1:19" x14ac:dyDescent="0.3">
      <c r="A696" t="s">
        <v>1469</v>
      </c>
      <c r="B696" t="s">
        <v>1470</v>
      </c>
      <c r="C696" t="s">
        <v>69</v>
      </c>
      <c r="D696" t="s">
        <v>4</v>
      </c>
      <c r="E696" t="s">
        <v>22</v>
      </c>
      <c r="F696" t="s">
        <v>42</v>
      </c>
      <c r="G696" t="s">
        <v>24</v>
      </c>
      <c r="H696">
        <v>65</v>
      </c>
      <c r="I696" s="1">
        <v>34520</v>
      </c>
      <c r="J696" s="2">
        <v>125213</v>
      </c>
      <c r="K696" s="3">
        <v>7.0000000000000007E-2</v>
      </c>
      <c r="L696" t="s">
        <v>25</v>
      </c>
      <c r="M696" t="s">
        <v>44</v>
      </c>
      <c r="N696" s="2">
        <f>Employee_Data[[#This Row],[Basic Salary]]*10%</f>
        <v>1043.4416666666666</v>
      </c>
      <c r="O696" s="4">
        <f>Employee_Data[[#This Row],[Basic Salary]]*7.5%</f>
        <v>782.58124999999995</v>
      </c>
      <c r="P696" s="2">
        <f>Employee_Data[[#This Row],[Basic Salary]]*3%</f>
        <v>313.03249999999997</v>
      </c>
      <c r="Q696" s="2">
        <f>SUM(Employee_Data[[#This Row],[Basic Salary]],Employee_Data[[#This Row],[HRA]],Employee_Data[[#This Row],[MA]],Employee_Data[[#This Row],[TA]])</f>
        <v>12573.472083333332</v>
      </c>
      <c r="R696" s="4">
        <f>Employee_Data[[#This Row],[Basic Salary]]*12.5%</f>
        <v>1304.3020833333333</v>
      </c>
      <c r="S696" s="2">
        <f>Employee_Data[[#This Row],[Annual Salary]]/12</f>
        <v>10434.416666666666</v>
      </c>
    </row>
    <row r="697" spans="1:19" x14ac:dyDescent="0.3">
      <c r="A697" t="s">
        <v>1471</v>
      </c>
      <c r="B697" t="s">
        <v>1472</v>
      </c>
      <c r="C697" t="s">
        <v>69</v>
      </c>
      <c r="D697" t="s">
        <v>30</v>
      </c>
      <c r="E697" t="s">
        <v>22</v>
      </c>
      <c r="F697" t="s">
        <v>23</v>
      </c>
      <c r="G697" t="s">
        <v>24</v>
      </c>
      <c r="H697">
        <v>43</v>
      </c>
      <c r="I697" s="1">
        <v>39717</v>
      </c>
      <c r="J697" s="2">
        <v>120305</v>
      </c>
      <c r="K697" s="3">
        <v>7.0000000000000007E-2</v>
      </c>
      <c r="L697" t="s">
        <v>37</v>
      </c>
      <c r="M697" t="s">
        <v>38</v>
      </c>
      <c r="N697" s="2">
        <f>Employee_Data[[#This Row],[Basic Salary]]*10%</f>
        <v>1002.5416666666666</v>
      </c>
      <c r="O697" s="4">
        <f>Employee_Data[[#This Row],[Basic Salary]]*7.5%</f>
        <v>751.90624999999989</v>
      </c>
      <c r="P697" s="2">
        <f>Employee_Data[[#This Row],[Basic Salary]]*3%</f>
        <v>300.76249999999999</v>
      </c>
      <c r="Q697" s="2">
        <f>SUM(Employee_Data[[#This Row],[Basic Salary]],Employee_Data[[#This Row],[HRA]],Employee_Data[[#This Row],[MA]],Employee_Data[[#This Row],[TA]])</f>
        <v>12080.627083333333</v>
      </c>
      <c r="R697" s="4">
        <f>Employee_Data[[#This Row],[Basic Salary]]*12.5%</f>
        <v>1253.1770833333333</v>
      </c>
      <c r="S697" s="2">
        <f>Employee_Data[[#This Row],[Annual Salary]]/12</f>
        <v>10025.416666666666</v>
      </c>
    </row>
    <row r="698" spans="1:19" x14ac:dyDescent="0.3">
      <c r="A698" t="s">
        <v>1473</v>
      </c>
      <c r="B698" t="s">
        <v>1474</v>
      </c>
      <c r="C698" t="s">
        <v>83</v>
      </c>
      <c r="D698" t="s">
        <v>80</v>
      </c>
      <c r="E698" t="s">
        <v>36</v>
      </c>
      <c r="F698" t="s">
        <v>42</v>
      </c>
      <c r="G698" t="s">
        <v>66</v>
      </c>
      <c r="H698">
        <v>45</v>
      </c>
      <c r="I698" s="1">
        <v>41534</v>
      </c>
      <c r="J698" s="2">
        <v>138355</v>
      </c>
      <c r="K698" s="3">
        <v>0.14000000000000001</v>
      </c>
      <c r="L698" t="s">
        <v>25</v>
      </c>
      <c r="M698" t="s">
        <v>26</v>
      </c>
      <c r="N698" s="2">
        <f>Employee_Data[[#This Row],[Basic Salary]]*10%</f>
        <v>1152.9583333333335</v>
      </c>
      <c r="O698" s="4">
        <f>Employee_Data[[#This Row],[Basic Salary]]*7.5%</f>
        <v>864.71875</v>
      </c>
      <c r="P698" s="2">
        <f>Employee_Data[[#This Row],[Basic Salary]]*3%</f>
        <v>345.88749999999999</v>
      </c>
      <c r="Q698" s="2">
        <f>SUM(Employee_Data[[#This Row],[Basic Salary]],Employee_Data[[#This Row],[HRA]],Employee_Data[[#This Row],[MA]],Employee_Data[[#This Row],[TA]])</f>
        <v>13893.147916666669</v>
      </c>
      <c r="R698" s="4">
        <f>Employee_Data[[#This Row],[Basic Salary]]*12.5%</f>
        <v>1441.1979166666667</v>
      </c>
      <c r="S698" s="2">
        <f>Employee_Data[[#This Row],[Annual Salary]]/12</f>
        <v>11529.583333333334</v>
      </c>
    </row>
    <row r="699" spans="1:19" x14ac:dyDescent="0.3">
      <c r="A699" t="s">
        <v>1475</v>
      </c>
      <c r="B699" t="s">
        <v>1476</v>
      </c>
      <c r="C699" t="s">
        <v>355</v>
      </c>
      <c r="D699" t="s">
        <v>4</v>
      </c>
      <c r="E699" t="s">
        <v>31</v>
      </c>
      <c r="F699" t="s">
        <v>23</v>
      </c>
      <c r="G699" t="s">
        <v>24</v>
      </c>
      <c r="H699">
        <v>28</v>
      </c>
      <c r="I699" s="1">
        <v>44381</v>
      </c>
      <c r="J699" s="2">
        <v>70996</v>
      </c>
      <c r="K699" s="3">
        <v>0</v>
      </c>
      <c r="L699" t="s">
        <v>25</v>
      </c>
      <c r="M699" t="s">
        <v>48</v>
      </c>
      <c r="N699" s="2">
        <f>Employee_Data[[#This Row],[Basic Salary]]*10%</f>
        <v>591.63333333333333</v>
      </c>
      <c r="O699" s="4">
        <f>Employee_Data[[#This Row],[Basic Salary]]*7.5%</f>
        <v>443.72499999999997</v>
      </c>
      <c r="P699" s="2">
        <f>Employee_Data[[#This Row],[Basic Salary]]*3%</f>
        <v>177.48999999999998</v>
      </c>
      <c r="Q699" s="2">
        <f>SUM(Employee_Data[[#This Row],[Basic Salary]],Employee_Data[[#This Row],[HRA]],Employee_Data[[#This Row],[MA]],Employee_Data[[#This Row],[TA]])</f>
        <v>7129.1816666666664</v>
      </c>
      <c r="R699" s="4">
        <f>Employee_Data[[#This Row],[Basic Salary]]*12.5%</f>
        <v>739.54166666666663</v>
      </c>
      <c r="S699" s="2">
        <f>Employee_Data[[#This Row],[Annual Salary]]/12</f>
        <v>5916.333333333333</v>
      </c>
    </row>
    <row r="700" spans="1:19" x14ac:dyDescent="0.3">
      <c r="A700" t="s">
        <v>1477</v>
      </c>
      <c r="B700" t="s">
        <v>1478</v>
      </c>
      <c r="C700" t="s">
        <v>180</v>
      </c>
      <c r="D700" t="s">
        <v>4</v>
      </c>
      <c r="E700" t="s">
        <v>22</v>
      </c>
      <c r="F700" t="s">
        <v>23</v>
      </c>
      <c r="G700" t="s">
        <v>66</v>
      </c>
      <c r="H700">
        <v>34</v>
      </c>
      <c r="I700" s="1">
        <v>42002</v>
      </c>
      <c r="J700" s="2">
        <v>77024</v>
      </c>
      <c r="K700" s="3">
        <v>0.09</v>
      </c>
      <c r="L700" t="s">
        <v>25</v>
      </c>
      <c r="M700" t="s">
        <v>51</v>
      </c>
      <c r="N700" s="2">
        <f>Employee_Data[[#This Row],[Basic Salary]]*10%</f>
        <v>641.86666666666679</v>
      </c>
      <c r="O700" s="4">
        <f>Employee_Data[[#This Row],[Basic Salary]]*7.5%</f>
        <v>481.4</v>
      </c>
      <c r="P700" s="2">
        <f>Employee_Data[[#This Row],[Basic Salary]]*3%</f>
        <v>192.56</v>
      </c>
      <c r="Q700" s="2">
        <f>SUM(Employee_Data[[#This Row],[Basic Salary]],Employee_Data[[#This Row],[HRA]],Employee_Data[[#This Row],[MA]],Employee_Data[[#This Row],[TA]])</f>
        <v>7734.4933333333338</v>
      </c>
      <c r="R700" s="4">
        <f>Employee_Data[[#This Row],[Basic Salary]]*12.5%</f>
        <v>802.33333333333337</v>
      </c>
      <c r="S700" s="2">
        <f>Employee_Data[[#This Row],[Annual Salary]]/12</f>
        <v>6418.666666666667</v>
      </c>
    </row>
    <row r="701" spans="1:19" x14ac:dyDescent="0.3">
      <c r="A701" t="s">
        <v>1479</v>
      </c>
      <c r="B701" t="s">
        <v>1480</v>
      </c>
      <c r="C701" t="s">
        <v>159</v>
      </c>
      <c r="D701" t="s">
        <v>4</v>
      </c>
      <c r="E701" t="s">
        <v>56</v>
      </c>
      <c r="F701" t="s">
        <v>23</v>
      </c>
      <c r="G701" t="s">
        <v>84</v>
      </c>
      <c r="H701">
        <v>31</v>
      </c>
      <c r="I701" s="1">
        <v>42843</v>
      </c>
      <c r="J701" s="2">
        <v>50022</v>
      </c>
      <c r="K701" s="3">
        <v>0</v>
      </c>
      <c r="L701" t="s">
        <v>25</v>
      </c>
      <c r="M701" t="s">
        <v>70</v>
      </c>
      <c r="N701" s="2">
        <f>Employee_Data[[#This Row],[Basic Salary]]*10%</f>
        <v>416.85</v>
      </c>
      <c r="O701" s="4">
        <f>Employee_Data[[#This Row],[Basic Salary]]*7.5%</f>
        <v>312.63749999999999</v>
      </c>
      <c r="P701" s="2">
        <f>Employee_Data[[#This Row],[Basic Salary]]*3%</f>
        <v>125.05499999999999</v>
      </c>
      <c r="Q701" s="2">
        <f>SUM(Employee_Data[[#This Row],[Basic Salary]],Employee_Data[[#This Row],[HRA]],Employee_Data[[#This Row],[MA]],Employee_Data[[#This Row],[TA]])</f>
        <v>5023.0425000000005</v>
      </c>
      <c r="R701" s="4">
        <f>Employee_Data[[#This Row],[Basic Salary]]*12.5%</f>
        <v>521.0625</v>
      </c>
      <c r="S701" s="2">
        <f>Employee_Data[[#This Row],[Annual Salary]]/12</f>
        <v>4168.5</v>
      </c>
    </row>
    <row r="702" spans="1:19" x14ac:dyDescent="0.3">
      <c r="A702" t="s">
        <v>1481</v>
      </c>
      <c r="B702" t="s">
        <v>1482</v>
      </c>
      <c r="C702" t="s">
        <v>89</v>
      </c>
      <c r="D702" t="s">
        <v>30</v>
      </c>
      <c r="E702" t="s">
        <v>56</v>
      </c>
      <c r="F702" t="s">
        <v>23</v>
      </c>
      <c r="G702" t="s">
        <v>43</v>
      </c>
      <c r="H702">
        <v>29</v>
      </c>
      <c r="I702" s="1">
        <v>42741</v>
      </c>
      <c r="J702" s="2">
        <v>204534</v>
      </c>
      <c r="K702" s="3">
        <v>0.38</v>
      </c>
      <c r="L702" t="s">
        <v>25</v>
      </c>
      <c r="M702" t="s">
        <v>32</v>
      </c>
      <c r="N702" s="2">
        <f>Employee_Data[[#This Row],[Basic Salary]]*10%</f>
        <v>1704.45</v>
      </c>
      <c r="O702" s="4">
        <f>Employee_Data[[#This Row],[Basic Salary]]*7.5%</f>
        <v>1278.3374999999999</v>
      </c>
      <c r="P702" s="2">
        <f>Employee_Data[[#This Row],[Basic Salary]]*3%</f>
        <v>511.33499999999998</v>
      </c>
      <c r="Q702" s="2">
        <f>SUM(Employee_Data[[#This Row],[Basic Salary]],Employee_Data[[#This Row],[HRA]],Employee_Data[[#This Row],[MA]],Employee_Data[[#This Row],[TA]])</f>
        <v>20538.622500000001</v>
      </c>
      <c r="R702" s="4">
        <f>Employee_Data[[#This Row],[Basic Salary]]*12.5%</f>
        <v>2130.5625</v>
      </c>
      <c r="S702" s="2">
        <f>Employee_Data[[#This Row],[Annual Salary]]/12</f>
        <v>17044.5</v>
      </c>
    </row>
    <row r="703" spans="1:19" x14ac:dyDescent="0.3">
      <c r="A703" t="s">
        <v>1483</v>
      </c>
      <c r="B703" t="s">
        <v>1484</v>
      </c>
      <c r="C703" t="s">
        <v>405</v>
      </c>
      <c r="D703" t="s">
        <v>30</v>
      </c>
      <c r="E703" t="s">
        <v>36</v>
      </c>
      <c r="F703" t="s">
        <v>23</v>
      </c>
      <c r="G703" t="s">
        <v>43</v>
      </c>
      <c r="H703">
        <v>49</v>
      </c>
      <c r="I703" s="1">
        <v>38708</v>
      </c>
      <c r="J703" s="2">
        <v>75814</v>
      </c>
      <c r="K703" s="3">
        <v>0</v>
      </c>
      <c r="L703" t="s">
        <v>25</v>
      </c>
      <c r="M703" t="s">
        <v>32</v>
      </c>
      <c r="N703" s="2">
        <f>Employee_Data[[#This Row],[Basic Salary]]*10%</f>
        <v>631.7833333333333</v>
      </c>
      <c r="O703" s="4">
        <f>Employee_Data[[#This Row],[Basic Salary]]*7.5%</f>
        <v>473.83749999999998</v>
      </c>
      <c r="P703" s="2">
        <f>Employee_Data[[#This Row],[Basic Salary]]*3%</f>
        <v>189.535</v>
      </c>
      <c r="Q703" s="2">
        <f>SUM(Employee_Data[[#This Row],[Basic Salary]],Employee_Data[[#This Row],[HRA]],Employee_Data[[#This Row],[MA]],Employee_Data[[#This Row],[TA]])</f>
        <v>7612.9891666666663</v>
      </c>
      <c r="R703" s="4">
        <f>Employee_Data[[#This Row],[Basic Salary]]*12.5%</f>
        <v>789.72916666666663</v>
      </c>
      <c r="S703" s="2">
        <f>Employee_Data[[#This Row],[Annual Salary]]/12</f>
        <v>6317.833333333333</v>
      </c>
    </row>
    <row r="704" spans="1:19" x14ac:dyDescent="0.3">
      <c r="A704" t="s">
        <v>1485</v>
      </c>
      <c r="B704" t="s">
        <v>1486</v>
      </c>
      <c r="C704" t="s">
        <v>47</v>
      </c>
      <c r="D704" t="s">
        <v>30</v>
      </c>
      <c r="E704" t="s">
        <v>22</v>
      </c>
      <c r="F704" t="s">
        <v>23</v>
      </c>
      <c r="G704" t="s">
        <v>24</v>
      </c>
      <c r="H704">
        <v>47</v>
      </c>
      <c r="I704" s="1">
        <v>43661</v>
      </c>
      <c r="J704" s="2">
        <v>169487</v>
      </c>
      <c r="K704" s="3">
        <v>0.23</v>
      </c>
      <c r="L704" t="s">
        <v>25</v>
      </c>
      <c r="M704" t="s">
        <v>26</v>
      </c>
      <c r="N704" s="2">
        <f>Employee_Data[[#This Row],[Basic Salary]]*10%</f>
        <v>1412.3916666666667</v>
      </c>
      <c r="O704" s="4">
        <f>Employee_Data[[#This Row],[Basic Salary]]*7.5%</f>
        <v>1059.2937499999998</v>
      </c>
      <c r="P704" s="2">
        <f>Employee_Data[[#This Row],[Basic Salary]]*3%</f>
        <v>423.71749999999997</v>
      </c>
      <c r="Q704" s="2">
        <f>SUM(Employee_Data[[#This Row],[Basic Salary]],Employee_Data[[#This Row],[HRA]],Employee_Data[[#This Row],[MA]],Employee_Data[[#This Row],[TA]])</f>
        <v>17019.31958333333</v>
      </c>
      <c r="R704" s="4">
        <f>Employee_Data[[#This Row],[Basic Salary]]*12.5%</f>
        <v>1765.4895833333333</v>
      </c>
      <c r="S704" s="2">
        <f>Employee_Data[[#This Row],[Annual Salary]]/12</f>
        <v>14123.916666666666</v>
      </c>
    </row>
    <row r="705" spans="1:19" x14ac:dyDescent="0.3">
      <c r="A705" t="s">
        <v>1487</v>
      </c>
      <c r="B705" t="s">
        <v>1488</v>
      </c>
      <c r="C705" t="s">
        <v>83</v>
      </c>
      <c r="D705" t="s">
        <v>4</v>
      </c>
      <c r="E705" t="s">
        <v>31</v>
      </c>
      <c r="F705" t="s">
        <v>42</v>
      </c>
      <c r="G705" t="s">
        <v>66</v>
      </c>
      <c r="H705">
        <v>56</v>
      </c>
      <c r="I705" s="1">
        <v>37382</v>
      </c>
      <c r="J705" s="2">
        <v>156435</v>
      </c>
      <c r="K705" s="3">
        <v>0.1</v>
      </c>
      <c r="L705" t="s">
        <v>25</v>
      </c>
      <c r="M705" t="s">
        <v>32</v>
      </c>
      <c r="N705" s="2">
        <f>Employee_Data[[#This Row],[Basic Salary]]*10%</f>
        <v>1303.625</v>
      </c>
      <c r="O705" s="4">
        <f>Employee_Data[[#This Row],[Basic Salary]]*7.5%</f>
        <v>977.71875</v>
      </c>
      <c r="P705" s="2">
        <f>Employee_Data[[#This Row],[Basic Salary]]*3%</f>
        <v>391.08749999999998</v>
      </c>
      <c r="Q705" s="2">
        <f>SUM(Employee_Data[[#This Row],[Basic Salary]],Employee_Data[[#This Row],[HRA]],Employee_Data[[#This Row],[MA]],Employee_Data[[#This Row],[TA]])</f>
        <v>15708.68125</v>
      </c>
      <c r="R705" s="4">
        <f>Employee_Data[[#This Row],[Basic Salary]]*12.5%</f>
        <v>1629.53125</v>
      </c>
      <c r="S705" s="2">
        <f>Employee_Data[[#This Row],[Annual Salary]]/12</f>
        <v>13036.25</v>
      </c>
    </row>
    <row r="706" spans="1:19" x14ac:dyDescent="0.3">
      <c r="A706" t="s">
        <v>1489</v>
      </c>
      <c r="B706" t="s">
        <v>1490</v>
      </c>
      <c r="C706" t="s">
        <v>104</v>
      </c>
      <c r="D706" t="s">
        <v>30</v>
      </c>
      <c r="E706" t="s">
        <v>56</v>
      </c>
      <c r="F706" t="s">
        <v>23</v>
      </c>
      <c r="G706" t="s">
        <v>24</v>
      </c>
      <c r="H706">
        <v>52</v>
      </c>
      <c r="I706" s="1">
        <v>39071</v>
      </c>
      <c r="J706" s="2">
        <v>59845</v>
      </c>
      <c r="K706" s="3">
        <v>0</v>
      </c>
      <c r="L706" t="s">
        <v>37</v>
      </c>
      <c r="M706" t="s">
        <v>111</v>
      </c>
      <c r="N706" s="2">
        <f>Employee_Data[[#This Row],[Basic Salary]]*10%</f>
        <v>498.70833333333331</v>
      </c>
      <c r="O706" s="4">
        <f>Employee_Data[[#This Row],[Basic Salary]]*7.5%</f>
        <v>374.03124999999994</v>
      </c>
      <c r="P706" s="2">
        <f>Employee_Data[[#This Row],[Basic Salary]]*3%</f>
        <v>149.61249999999998</v>
      </c>
      <c r="Q706" s="2">
        <f>SUM(Employee_Data[[#This Row],[Basic Salary]],Employee_Data[[#This Row],[HRA]],Employee_Data[[#This Row],[MA]],Employee_Data[[#This Row],[TA]])</f>
        <v>6009.4354166666662</v>
      </c>
      <c r="R706" s="4">
        <f>Employee_Data[[#This Row],[Basic Salary]]*12.5%</f>
        <v>623.38541666666663</v>
      </c>
      <c r="S706" s="2">
        <f>Employee_Data[[#This Row],[Annual Salary]]/12</f>
        <v>4987.083333333333</v>
      </c>
    </row>
    <row r="707" spans="1:19" x14ac:dyDescent="0.3">
      <c r="A707" t="s">
        <v>1491</v>
      </c>
      <c r="B707" t="s">
        <v>1492</v>
      </c>
      <c r="C707" t="s">
        <v>65</v>
      </c>
      <c r="D707" t="s">
        <v>4</v>
      </c>
      <c r="E707" t="s">
        <v>22</v>
      </c>
      <c r="F707" t="s">
        <v>42</v>
      </c>
      <c r="G707" t="s">
        <v>43</v>
      </c>
      <c r="H707">
        <v>37</v>
      </c>
      <c r="I707" s="1">
        <v>43896</v>
      </c>
      <c r="J707" s="2">
        <v>93656</v>
      </c>
      <c r="K707" s="3">
        <v>0</v>
      </c>
      <c r="L707" t="s">
        <v>25</v>
      </c>
      <c r="M707" t="s">
        <v>26</v>
      </c>
      <c r="N707" s="2">
        <f>Employee_Data[[#This Row],[Basic Salary]]*10%</f>
        <v>780.4666666666667</v>
      </c>
      <c r="O707" s="4">
        <f>Employee_Data[[#This Row],[Basic Salary]]*7.5%</f>
        <v>585.35</v>
      </c>
      <c r="P707" s="2">
        <f>Employee_Data[[#This Row],[Basic Salary]]*3%</f>
        <v>234.14</v>
      </c>
      <c r="Q707" s="2">
        <f>SUM(Employee_Data[[#This Row],[Basic Salary]],Employee_Data[[#This Row],[HRA]],Employee_Data[[#This Row],[MA]],Employee_Data[[#This Row],[TA]])</f>
        <v>9404.623333333333</v>
      </c>
      <c r="R707" s="4">
        <f>Employee_Data[[#This Row],[Basic Salary]]*12.5%</f>
        <v>975.58333333333337</v>
      </c>
      <c r="S707" s="2">
        <f>Employee_Data[[#This Row],[Annual Salary]]/12</f>
        <v>7804.666666666667</v>
      </c>
    </row>
    <row r="708" spans="1:19" x14ac:dyDescent="0.3">
      <c r="A708" t="s">
        <v>1493</v>
      </c>
      <c r="B708" t="s">
        <v>1494</v>
      </c>
      <c r="C708" t="s">
        <v>134</v>
      </c>
      <c r="D708" t="s">
        <v>21</v>
      </c>
      <c r="E708" t="s">
        <v>22</v>
      </c>
      <c r="F708" t="s">
        <v>23</v>
      </c>
      <c r="G708" t="s">
        <v>66</v>
      </c>
      <c r="H708">
        <v>55</v>
      </c>
      <c r="I708" s="1">
        <v>35860</v>
      </c>
      <c r="J708" s="2">
        <v>99035</v>
      </c>
      <c r="K708" s="3">
        <v>0</v>
      </c>
      <c r="L708" t="s">
        <v>25</v>
      </c>
      <c r="M708" t="s">
        <v>70</v>
      </c>
      <c r="N708" s="2">
        <f>Employee_Data[[#This Row],[Basic Salary]]*10%</f>
        <v>825.29166666666663</v>
      </c>
      <c r="O708" s="4">
        <f>Employee_Data[[#This Row],[Basic Salary]]*7.5%</f>
        <v>618.96874999999989</v>
      </c>
      <c r="P708" s="2">
        <f>Employee_Data[[#This Row],[Basic Salary]]*3%</f>
        <v>247.58749999999998</v>
      </c>
      <c r="Q708" s="2">
        <f>SUM(Employee_Data[[#This Row],[Basic Salary]],Employee_Data[[#This Row],[HRA]],Employee_Data[[#This Row],[MA]],Employee_Data[[#This Row],[TA]])</f>
        <v>9944.7645833333318</v>
      </c>
      <c r="R708" s="4">
        <f>Employee_Data[[#This Row],[Basic Salary]]*12.5%</f>
        <v>1031.6145833333333</v>
      </c>
      <c r="S708" s="2">
        <f>Employee_Data[[#This Row],[Annual Salary]]/12</f>
        <v>8252.9166666666661</v>
      </c>
    </row>
    <row r="709" spans="1:19" x14ac:dyDescent="0.3">
      <c r="A709" t="s">
        <v>1495</v>
      </c>
      <c r="B709" t="s">
        <v>1496</v>
      </c>
      <c r="C709" t="s">
        <v>83</v>
      </c>
      <c r="D709" t="s">
        <v>80</v>
      </c>
      <c r="E709" t="s">
        <v>31</v>
      </c>
      <c r="F709" t="s">
        <v>23</v>
      </c>
      <c r="G709" t="s">
        <v>66</v>
      </c>
      <c r="H709">
        <v>27</v>
      </c>
      <c r="I709" s="1">
        <v>44364</v>
      </c>
      <c r="J709" s="2">
        <v>137997</v>
      </c>
      <c r="K709" s="3">
        <v>0.12</v>
      </c>
      <c r="L709" t="s">
        <v>25</v>
      </c>
      <c r="M709" t="s">
        <v>51</v>
      </c>
      <c r="N709" s="2">
        <f>Employee_Data[[#This Row],[Basic Salary]]*10%</f>
        <v>1149.9750000000001</v>
      </c>
      <c r="O709" s="4">
        <f>Employee_Data[[#This Row],[Basic Salary]]*7.5%</f>
        <v>862.48124999999993</v>
      </c>
      <c r="P709" s="2">
        <f>Employee_Data[[#This Row],[Basic Salary]]*3%</f>
        <v>344.99250000000001</v>
      </c>
      <c r="Q709" s="2">
        <f>SUM(Employee_Data[[#This Row],[Basic Salary]],Employee_Data[[#This Row],[HRA]],Employee_Data[[#This Row],[MA]],Employee_Data[[#This Row],[TA]])</f>
        <v>13857.198750000001</v>
      </c>
      <c r="R709" s="4">
        <f>Employee_Data[[#This Row],[Basic Salary]]*12.5%</f>
        <v>1437.46875</v>
      </c>
      <c r="S709" s="2">
        <f>Employee_Data[[#This Row],[Annual Salary]]/12</f>
        <v>11499.75</v>
      </c>
    </row>
    <row r="710" spans="1:19" x14ac:dyDescent="0.3">
      <c r="A710" t="s">
        <v>1497</v>
      </c>
      <c r="B710" t="s">
        <v>1498</v>
      </c>
      <c r="C710" t="s">
        <v>355</v>
      </c>
      <c r="D710" t="s">
        <v>4</v>
      </c>
      <c r="E710" t="s">
        <v>22</v>
      </c>
      <c r="F710" t="s">
        <v>42</v>
      </c>
      <c r="G710" t="s">
        <v>24</v>
      </c>
      <c r="H710">
        <v>28</v>
      </c>
      <c r="I710" s="1">
        <v>43637</v>
      </c>
      <c r="J710" s="2">
        <v>61573</v>
      </c>
      <c r="K710" s="3">
        <v>0</v>
      </c>
      <c r="L710" t="s">
        <v>25</v>
      </c>
      <c r="M710" t="s">
        <v>32</v>
      </c>
      <c r="N710" s="2">
        <f>Employee_Data[[#This Row],[Basic Salary]]*10%</f>
        <v>513.10833333333335</v>
      </c>
      <c r="O710" s="4">
        <f>Employee_Data[[#This Row],[Basic Salary]]*7.5%</f>
        <v>384.83124999999995</v>
      </c>
      <c r="P710" s="2">
        <f>Employee_Data[[#This Row],[Basic Salary]]*3%</f>
        <v>153.93249999999998</v>
      </c>
      <c r="Q710" s="2">
        <f>SUM(Employee_Data[[#This Row],[Basic Salary]],Employee_Data[[#This Row],[HRA]],Employee_Data[[#This Row],[MA]],Employee_Data[[#This Row],[TA]])</f>
        <v>6182.9554166666667</v>
      </c>
      <c r="R710" s="4">
        <f>Employee_Data[[#This Row],[Basic Salary]]*12.5%</f>
        <v>641.38541666666663</v>
      </c>
      <c r="S710" s="2">
        <f>Employee_Data[[#This Row],[Annual Salary]]/12</f>
        <v>5131.083333333333</v>
      </c>
    </row>
    <row r="711" spans="1:19" x14ac:dyDescent="0.3">
      <c r="A711" t="s">
        <v>1499</v>
      </c>
      <c r="B711" t="s">
        <v>1500</v>
      </c>
      <c r="C711" t="s">
        <v>29</v>
      </c>
      <c r="D711" t="s">
        <v>30</v>
      </c>
      <c r="E711" t="s">
        <v>22</v>
      </c>
      <c r="F711" t="s">
        <v>23</v>
      </c>
      <c r="G711" t="s">
        <v>24</v>
      </c>
      <c r="H711">
        <v>55</v>
      </c>
      <c r="I711" s="1">
        <v>42130</v>
      </c>
      <c r="J711" s="2">
        <v>41102</v>
      </c>
      <c r="K711" s="3">
        <v>0</v>
      </c>
      <c r="L711" t="s">
        <v>25</v>
      </c>
      <c r="M711" t="s">
        <v>44</v>
      </c>
      <c r="N711" s="2">
        <f>Employee_Data[[#This Row],[Basic Salary]]*10%</f>
        <v>342.51666666666665</v>
      </c>
      <c r="O711" s="4">
        <f>Employee_Data[[#This Row],[Basic Salary]]*7.5%</f>
        <v>256.88749999999999</v>
      </c>
      <c r="P711" s="2">
        <f>Employee_Data[[#This Row],[Basic Salary]]*3%</f>
        <v>102.755</v>
      </c>
      <c r="Q711" s="2">
        <f>SUM(Employee_Data[[#This Row],[Basic Salary]],Employee_Data[[#This Row],[HRA]],Employee_Data[[#This Row],[MA]],Employee_Data[[#This Row],[TA]])</f>
        <v>4127.3258333333333</v>
      </c>
      <c r="R711" s="4">
        <f>Employee_Data[[#This Row],[Basic Salary]]*12.5%</f>
        <v>428.14583333333331</v>
      </c>
      <c r="S711" s="2">
        <f>Employee_Data[[#This Row],[Annual Salary]]/12</f>
        <v>3425.1666666666665</v>
      </c>
    </row>
    <row r="712" spans="1:19" x14ac:dyDescent="0.3">
      <c r="A712" t="s">
        <v>1501</v>
      </c>
      <c r="B712" t="s">
        <v>1502</v>
      </c>
      <c r="C712" t="s">
        <v>69</v>
      </c>
      <c r="D712" t="s">
        <v>126</v>
      </c>
      <c r="E712" t="s">
        <v>36</v>
      </c>
      <c r="F712" t="s">
        <v>42</v>
      </c>
      <c r="G712" t="s">
        <v>24</v>
      </c>
      <c r="H712">
        <v>44</v>
      </c>
      <c r="I712" s="1">
        <v>40802</v>
      </c>
      <c r="J712" s="2">
        <v>129866</v>
      </c>
      <c r="K712" s="3">
        <v>0.06</v>
      </c>
      <c r="L712" t="s">
        <v>37</v>
      </c>
      <c r="M712" t="s">
        <v>111</v>
      </c>
      <c r="N712" s="2">
        <f>Employee_Data[[#This Row],[Basic Salary]]*10%</f>
        <v>1082.2166666666667</v>
      </c>
      <c r="O712" s="4">
        <f>Employee_Data[[#This Row],[Basic Salary]]*7.5%</f>
        <v>811.66249999999991</v>
      </c>
      <c r="P712" s="2">
        <f>Employee_Data[[#This Row],[Basic Salary]]*3%</f>
        <v>324.66499999999996</v>
      </c>
      <c r="Q712" s="2">
        <f>SUM(Employee_Data[[#This Row],[Basic Salary]],Employee_Data[[#This Row],[HRA]],Employee_Data[[#This Row],[MA]],Employee_Data[[#This Row],[TA]])</f>
        <v>13040.710833333334</v>
      </c>
      <c r="R712" s="4">
        <f>Employee_Data[[#This Row],[Basic Salary]]*12.5%</f>
        <v>1352.7708333333333</v>
      </c>
      <c r="S712" s="2">
        <f>Employee_Data[[#This Row],[Annual Salary]]/12</f>
        <v>10822.166666666666</v>
      </c>
    </row>
    <row r="713" spans="1:19" x14ac:dyDescent="0.3">
      <c r="A713" t="s">
        <v>1503</v>
      </c>
      <c r="B713" t="s">
        <v>1504</v>
      </c>
      <c r="C713" t="s">
        <v>47</v>
      </c>
      <c r="D713" t="s">
        <v>126</v>
      </c>
      <c r="E713" t="s">
        <v>56</v>
      </c>
      <c r="F713" t="s">
        <v>42</v>
      </c>
      <c r="G713" t="s">
        <v>66</v>
      </c>
      <c r="H713">
        <v>28</v>
      </c>
      <c r="I713" s="1">
        <v>43852</v>
      </c>
      <c r="J713" s="2">
        <v>161868</v>
      </c>
      <c r="K713" s="3">
        <v>0.21</v>
      </c>
      <c r="L713" t="s">
        <v>25</v>
      </c>
      <c r="M713" t="s">
        <v>48</v>
      </c>
      <c r="N713" s="2">
        <f>Employee_Data[[#This Row],[Basic Salary]]*10%</f>
        <v>1348.9</v>
      </c>
      <c r="O713" s="4">
        <f>Employee_Data[[#This Row],[Basic Salary]]*7.5%</f>
        <v>1011.675</v>
      </c>
      <c r="P713" s="2">
        <f>Employee_Data[[#This Row],[Basic Salary]]*3%</f>
        <v>404.66999999999996</v>
      </c>
      <c r="Q713" s="2">
        <f>SUM(Employee_Data[[#This Row],[Basic Salary]],Employee_Data[[#This Row],[HRA]],Employee_Data[[#This Row],[MA]],Employee_Data[[#This Row],[TA]])</f>
        <v>16254.244999999999</v>
      </c>
      <c r="R713" s="4">
        <f>Employee_Data[[#This Row],[Basic Salary]]*12.5%</f>
        <v>1686.125</v>
      </c>
      <c r="S713" s="2">
        <f>Employee_Data[[#This Row],[Annual Salary]]/12</f>
        <v>13489</v>
      </c>
    </row>
    <row r="714" spans="1:19" x14ac:dyDescent="0.3">
      <c r="A714" t="s">
        <v>1505</v>
      </c>
      <c r="B714" t="s">
        <v>1506</v>
      </c>
      <c r="C714" t="s">
        <v>292</v>
      </c>
      <c r="D714" t="s">
        <v>21</v>
      </c>
      <c r="E714" t="s">
        <v>31</v>
      </c>
      <c r="F714" t="s">
        <v>42</v>
      </c>
      <c r="G714" t="s">
        <v>24</v>
      </c>
      <c r="H714">
        <v>55</v>
      </c>
      <c r="I714" s="1">
        <v>34835</v>
      </c>
      <c r="J714" s="2">
        <v>67131</v>
      </c>
      <c r="K714" s="3">
        <v>0</v>
      </c>
      <c r="L714" t="s">
        <v>25</v>
      </c>
      <c r="M714" t="s">
        <v>48</v>
      </c>
      <c r="N714" s="2">
        <f>Employee_Data[[#This Row],[Basic Salary]]*10%</f>
        <v>559.42500000000007</v>
      </c>
      <c r="O714" s="4">
        <f>Employee_Data[[#This Row],[Basic Salary]]*7.5%</f>
        <v>419.56874999999997</v>
      </c>
      <c r="P714" s="2">
        <f>Employee_Data[[#This Row],[Basic Salary]]*3%</f>
        <v>167.82749999999999</v>
      </c>
      <c r="Q714" s="2">
        <f>SUM(Employee_Data[[#This Row],[Basic Salary]],Employee_Data[[#This Row],[HRA]],Employee_Data[[#This Row],[MA]],Employee_Data[[#This Row],[TA]])</f>
        <v>6741.0712500000009</v>
      </c>
      <c r="R714" s="4">
        <f>Employee_Data[[#This Row],[Basic Salary]]*12.5%</f>
        <v>699.28125</v>
      </c>
      <c r="S714" s="2">
        <f>Employee_Data[[#This Row],[Annual Salary]]/12</f>
        <v>5594.25</v>
      </c>
    </row>
    <row r="715" spans="1:19" x14ac:dyDescent="0.3">
      <c r="A715" t="s">
        <v>1507</v>
      </c>
      <c r="B715" t="s">
        <v>1508</v>
      </c>
      <c r="C715" t="s">
        <v>413</v>
      </c>
      <c r="D715" t="s">
        <v>21</v>
      </c>
      <c r="E715" t="s">
        <v>36</v>
      </c>
      <c r="F715" t="s">
        <v>23</v>
      </c>
      <c r="G715" t="s">
        <v>84</v>
      </c>
      <c r="H715">
        <v>44</v>
      </c>
      <c r="I715" s="1">
        <v>43753</v>
      </c>
      <c r="J715" s="2">
        <v>71345</v>
      </c>
      <c r="K715" s="3">
        <v>0</v>
      </c>
      <c r="L715" t="s">
        <v>25</v>
      </c>
      <c r="M715" t="s">
        <v>70</v>
      </c>
      <c r="N715" s="2">
        <f>Employee_Data[[#This Row],[Basic Salary]]*10%</f>
        <v>594.54166666666674</v>
      </c>
      <c r="O715" s="4">
        <f>Employee_Data[[#This Row],[Basic Salary]]*7.5%</f>
        <v>445.90625</v>
      </c>
      <c r="P715" s="2">
        <f>Employee_Data[[#This Row],[Basic Salary]]*3%</f>
        <v>178.36250000000001</v>
      </c>
      <c r="Q715" s="2">
        <f>SUM(Employee_Data[[#This Row],[Basic Salary]],Employee_Data[[#This Row],[HRA]],Employee_Data[[#This Row],[MA]],Employee_Data[[#This Row],[TA]])</f>
        <v>7164.2270833333341</v>
      </c>
      <c r="R715" s="4">
        <f>Employee_Data[[#This Row],[Basic Salary]]*12.5%</f>
        <v>743.17708333333337</v>
      </c>
      <c r="S715" s="2">
        <f>Employee_Data[[#This Row],[Annual Salary]]/12</f>
        <v>5945.416666666667</v>
      </c>
    </row>
    <row r="716" spans="1:19" x14ac:dyDescent="0.3">
      <c r="A716" t="s">
        <v>1509</v>
      </c>
      <c r="B716" t="s">
        <v>1510</v>
      </c>
      <c r="C716" t="s">
        <v>89</v>
      </c>
      <c r="D716" t="s">
        <v>30</v>
      </c>
      <c r="E716" t="s">
        <v>31</v>
      </c>
      <c r="F716" t="s">
        <v>42</v>
      </c>
      <c r="G716" t="s">
        <v>24</v>
      </c>
      <c r="H716">
        <v>30</v>
      </c>
      <c r="I716" s="1">
        <v>43747</v>
      </c>
      <c r="J716" s="2">
        <v>246757</v>
      </c>
      <c r="K716" s="3">
        <v>0.4</v>
      </c>
      <c r="L716" t="s">
        <v>25</v>
      </c>
      <c r="M716" t="s">
        <v>70</v>
      </c>
      <c r="N716" s="2">
        <f>Employee_Data[[#This Row],[Basic Salary]]*10%</f>
        <v>2056.3083333333334</v>
      </c>
      <c r="O716" s="4">
        <f>Employee_Data[[#This Row],[Basic Salary]]*7.5%</f>
        <v>1542.2312499999998</v>
      </c>
      <c r="P716" s="2">
        <f>Employee_Data[[#This Row],[Basic Salary]]*3%</f>
        <v>616.89249999999993</v>
      </c>
      <c r="Q716" s="2">
        <f>SUM(Employee_Data[[#This Row],[Basic Salary]],Employee_Data[[#This Row],[HRA]],Employee_Data[[#This Row],[MA]],Employee_Data[[#This Row],[TA]])</f>
        <v>24778.515416666669</v>
      </c>
      <c r="R716" s="4">
        <f>Employee_Data[[#This Row],[Basic Salary]]*12.5%</f>
        <v>2570.3854166666665</v>
      </c>
      <c r="S716" s="2">
        <f>Employee_Data[[#This Row],[Annual Salary]]/12</f>
        <v>20563.083333333332</v>
      </c>
    </row>
    <row r="717" spans="1:19" x14ac:dyDescent="0.3">
      <c r="A717" t="s">
        <v>1511</v>
      </c>
      <c r="B717" t="s">
        <v>1512</v>
      </c>
      <c r="C717" t="s">
        <v>69</v>
      </c>
      <c r="D717" t="s">
        <v>80</v>
      </c>
      <c r="E717" t="s">
        <v>36</v>
      </c>
      <c r="F717" t="s">
        <v>42</v>
      </c>
      <c r="G717" t="s">
        <v>24</v>
      </c>
      <c r="H717">
        <v>63</v>
      </c>
      <c r="I717" s="1">
        <v>38439</v>
      </c>
      <c r="J717" s="2">
        <v>106880</v>
      </c>
      <c r="K717" s="3">
        <v>0.08</v>
      </c>
      <c r="L717" t="s">
        <v>25</v>
      </c>
      <c r="M717" t="s">
        <v>48</v>
      </c>
      <c r="N717" s="2">
        <f>Employee_Data[[#This Row],[Basic Salary]]*10%</f>
        <v>890.66666666666663</v>
      </c>
      <c r="O717" s="4">
        <f>Employee_Data[[#This Row],[Basic Salary]]*7.5%</f>
        <v>667.99999999999989</v>
      </c>
      <c r="P717" s="2">
        <f>Employee_Data[[#This Row],[Basic Salary]]*3%</f>
        <v>267.2</v>
      </c>
      <c r="Q717" s="2">
        <f>SUM(Employee_Data[[#This Row],[Basic Salary]],Employee_Data[[#This Row],[HRA]],Employee_Data[[#This Row],[MA]],Employee_Data[[#This Row],[TA]])</f>
        <v>10732.533333333333</v>
      </c>
      <c r="R717" s="4">
        <f>Employee_Data[[#This Row],[Basic Salary]]*12.5%</f>
        <v>1113.3333333333333</v>
      </c>
      <c r="S717" s="2">
        <f>Employee_Data[[#This Row],[Annual Salary]]/12</f>
        <v>8906.6666666666661</v>
      </c>
    </row>
    <row r="718" spans="1:19" x14ac:dyDescent="0.3">
      <c r="A718" t="s">
        <v>1513</v>
      </c>
      <c r="B718" t="s">
        <v>1514</v>
      </c>
      <c r="C718" t="s">
        <v>41</v>
      </c>
      <c r="D718" t="s">
        <v>4</v>
      </c>
      <c r="E718" t="s">
        <v>22</v>
      </c>
      <c r="F718" t="s">
        <v>42</v>
      </c>
      <c r="G718" t="s">
        <v>24</v>
      </c>
      <c r="H718">
        <v>36</v>
      </c>
      <c r="I718" s="1">
        <v>43340</v>
      </c>
      <c r="J718" s="2">
        <v>98733</v>
      </c>
      <c r="K718" s="3">
        <v>0</v>
      </c>
      <c r="L718" t="s">
        <v>37</v>
      </c>
      <c r="M718" t="s">
        <v>111</v>
      </c>
      <c r="N718" s="2">
        <f>Employee_Data[[#This Row],[Basic Salary]]*10%</f>
        <v>822.77500000000009</v>
      </c>
      <c r="O718" s="4">
        <f>Employee_Data[[#This Row],[Basic Salary]]*7.5%</f>
        <v>617.08124999999995</v>
      </c>
      <c r="P718" s="2">
        <f>Employee_Data[[#This Row],[Basic Salary]]*3%</f>
        <v>246.83249999999998</v>
      </c>
      <c r="Q718" s="2">
        <f>SUM(Employee_Data[[#This Row],[Basic Salary]],Employee_Data[[#This Row],[HRA]],Employee_Data[[#This Row],[MA]],Employee_Data[[#This Row],[TA]])</f>
        <v>9914.4387499999993</v>
      </c>
      <c r="R718" s="4">
        <f>Employee_Data[[#This Row],[Basic Salary]]*12.5%</f>
        <v>1028.46875</v>
      </c>
      <c r="S718" s="2">
        <f>Employee_Data[[#This Row],[Annual Salary]]/12</f>
        <v>8227.75</v>
      </c>
    </row>
    <row r="719" spans="1:19" x14ac:dyDescent="0.3">
      <c r="A719" t="s">
        <v>1515</v>
      </c>
      <c r="B719" t="s">
        <v>1516</v>
      </c>
      <c r="C719" t="s">
        <v>83</v>
      </c>
      <c r="D719" t="s">
        <v>55</v>
      </c>
      <c r="E719" t="s">
        <v>36</v>
      </c>
      <c r="F719" t="s">
        <v>23</v>
      </c>
      <c r="G719" t="s">
        <v>43</v>
      </c>
      <c r="H719">
        <v>28</v>
      </c>
      <c r="I719" s="1">
        <v>43581</v>
      </c>
      <c r="J719" s="2">
        <v>141675</v>
      </c>
      <c r="K719" s="3">
        <v>0.12</v>
      </c>
      <c r="L719" t="s">
        <v>137</v>
      </c>
      <c r="M719" t="s">
        <v>138</v>
      </c>
      <c r="N719" s="2">
        <f>Employee_Data[[#This Row],[Basic Salary]]*10%</f>
        <v>1180.625</v>
      </c>
      <c r="O719" s="4">
        <f>Employee_Data[[#This Row],[Basic Salary]]*7.5%</f>
        <v>885.46875</v>
      </c>
      <c r="P719" s="2">
        <f>Employee_Data[[#This Row],[Basic Salary]]*3%</f>
        <v>354.1875</v>
      </c>
      <c r="Q719" s="2">
        <f>SUM(Employee_Data[[#This Row],[Basic Salary]],Employee_Data[[#This Row],[HRA]],Employee_Data[[#This Row],[MA]],Employee_Data[[#This Row],[TA]])</f>
        <v>14226.53125</v>
      </c>
      <c r="R719" s="4">
        <f>Employee_Data[[#This Row],[Basic Salary]]*12.5%</f>
        <v>1475.78125</v>
      </c>
      <c r="S719" s="2">
        <f>Employee_Data[[#This Row],[Annual Salary]]/12</f>
        <v>11806.25</v>
      </c>
    </row>
    <row r="720" spans="1:19" x14ac:dyDescent="0.3">
      <c r="A720" t="s">
        <v>1517</v>
      </c>
      <c r="B720" t="s">
        <v>1518</v>
      </c>
      <c r="C720" t="s">
        <v>60</v>
      </c>
      <c r="D720" t="s">
        <v>55</v>
      </c>
      <c r="E720" t="s">
        <v>36</v>
      </c>
      <c r="F720" t="s">
        <v>23</v>
      </c>
      <c r="G720" t="s">
        <v>24</v>
      </c>
      <c r="H720">
        <v>28</v>
      </c>
      <c r="I720" s="1">
        <v>43274</v>
      </c>
      <c r="J720" s="2">
        <v>53210</v>
      </c>
      <c r="K720" s="3">
        <v>0</v>
      </c>
      <c r="L720" t="s">
        <v>25</v>
      </c>
      <c r="M720" t="s">
        <v>44</v>
      </c>
      <c r="N720" s="2">
        <f>Employee_Data[[#This Row],[Basic Salary]]*10%</f>
        <v>443.41666666666674</v>
      </c>
      <c r="O720" s="4">
        <f>Employee_Data[[#This Row],[Basic Salary]]*7.5%</f>
        <v>332.5625</v>
      </c>
      <c r="P720" s="2">
        <f>Employee_Data[[#This Row],[Basic Salary]]*3%</f>
        <v>133.02500000000001</v>
      </c>
      <c r="Q720" s="2">
        <f>SUM(Employee_Data[[#This Row],[Basic Salary]],Employee_Data[[#This Row],[HRA]],Employee_Data[[#This Row],[MA]],Employee_Data[[#This Row],[TA]])</f>
        <v>5343.1708333333336</v>
      </c>
      <c r="R720" s="4">
        <f>Employee_Data[[#This Row],[Basic Salary]]*12.5%</f>
        <v>554.27083333333337</v>
      </c>
      <c r="S720" s="2">
        <f>Employee_Data[[#This Row],[Annual Salary]]/12</f>
        <v>4434.166666666667</v>
      </c>
    </row>
    <row r="721" spans="1:19" x14ac:dyDescent="0.3">
      <c r="A721" t="s">
        <v>1519</v>
      </c>
      <c r="B721" t="s">
        <v>1520</v>
      </c>
      <c r="C721" t="s">
        <v>69</v>
      </c>
      <c r="D721" t="s">
        <v>61</v>
      </c>
      <c r="E721" t="s">
        <v>56</v>
      </c>
      <c r="F721" t="s">
        <v>42</v>
      </c>
      <c r="G721" t="s">
        <v>43</v>
      </c>
      <c r="H721">
        <v>27</v>
      </c>
      <c r="I721" s="1">
        <v>44441</v>
      </c>
      <c r="J721" s="2">
        <v>107114</v>
      </c>
      <c r="K721" s="3">
        <v>0.1</v>
      </c>
      <c r="L721" t="s">
        <v>137</v>
      </c>
      <c r="M721" t="s">
        <v>138</v>
      </c>
      <c r="N721" s="2">
        <f>Employee_Data[[#This Row],[Basic Salary]]*10%</f>
        <v>892.61666666666667</v>
      </c>
      <c r="O721" s="4">
        <f>Employee_Data[[#This Row],[Basic Salary]]*7.5%</f>
        <v>669.46249999999998</v>
      </c>
      <c r="P721" s="2">
        <f>Employee_Data[[#This Row],[Basic Salary]]*3%</f>
        <v>267.78499999999997</v>
      </c>
      <c r="Q721" s="2">
        <f>SUM(Employee_Data[[#This Row],[Basic Salary]],Employee_Data[[#This Row],[HRA]],Employee_Data[[#This Row],[MA]],Employee_Data[[#This Row],[TA]])</f>
        <v>10756.030833333332</v>
      </c>
      <c r="R721" s="4">
        <f>Employee_Data[[#This Row],[Basic Salary]]*12.5%</f>
        <v>1115.7708333333333</v>
      </c>
      <c r="S721" s="2">
        <f>Employee_Data[[#This Row],[Annual Salary]]/12</f>
        <v>8926.1666666666661</v>
      </c>
    </row>
    <row r="722" spans="1:19" x14ac:dyDescent="0.3">
      <c r="A722" t="s">
        <v>1521</v>
      </c>
      <c r="B722" t="s">
        <v>1522</v>
      </c>
      <c r="C722" t="s">
        <v>131</v>
      </c>
      <c r="D722" t="s">
        <v>126</v>
      </c>
      <c r="E722" t="s">
        <v>56</v>
      </c>
      <c r="F722" t="s">
        <v>42</v>
      </c>
      <c r="G722" t="s">
        <v>84</v>
      </c>
      <c r="H722">
        <v>34</v>
      </c>
      <c r="I722" s="1">
        <v>44816</v>
      </c>
      <c r="J722" s="2">
        <v>57483</v>
      </c>
      <c r="K722" s="3">
        <v>0</v>
      </c>
      <c r="L722" t="s">
        <v>25</v>
      </c>
      <c r="M722" t="s">
        <v>44</v>
      </c>
      <c r="N722" s="2">
        <f>Employee_Data[[#This Row],[Basic Salary]]*10%</f>
        <v>479.02500000000003</v>
      </c>
      <c r="O722" s="4">
        <f>Employee_Data[[#This Row],[Basic Salary]]*7.5%</f>
        <v>359.26875000000001</v>
      </c>
      <c r="P722" s="2">
        <f>Employee_Data[[#This Row],[Basic Salary]]*3%</f>
        <v>143.70749999999998</v>
      </c>
      <c r="Q722" s="2">
        <f>SUM(Employee_Data[[#This Row],[Basic Salary]],Employee_Data[[#This Row],[HRA]],Employee_Data[[#This Row],[MA]],Employee_Data[[#This Row],[TA]])</f>
        <v>5772.2512499999993</v>
      </c>
      <c r="R722" s="4">
        <f>Employee_Data[[#This Row],[Basic Salary]]*12.5%</f>
        <v>598.78125</v>
      </c>
      <c r="S722" s="2">
        <f>Employee_Data[[#This Row],[Annual Salary]]/12</f>
        <v>4790.25</v>
      </c>
    </row>
    <row r="723" spans="1:19" x14ac:dyDescent="0.3">
      <c r="A723" t="s">
        <v>1523</v>
      </c>
      <c r="B723" t="s">
        <v>1524</v>
      </c>
      <c r="C723" t="s">
        <v>380</v>
      </c>
      <c r="D723" t="s">
        <v>4</v>
      </c>
      <c r="E723" t="s">
        <v>56</v>
      </c>
      <c r="F723" t="s">
        <v>23</v>
      </c>
      <c r="G723" t="s">
        <v>43</v>
      </c>
      <c r="H723">
        <v>53</v>
      </c>
      <c r="I723" s="1">
        <v>34444</v>
      </c>
      <c r="J723" s="2">
        <v>75226</v>
      </c>
      <c r="K723" s="3">
        <v>0</v>
      </c>
      <c r="L723" t="s">
        <v>137</v>
      </c>
      <c r="M723" t="s">
        <v>138</v>
      </c>
      <c r="N723" s="2">
        <f>Employee_Data[[#This Row],[Basic Salary]]*10%</f>
        <v>626.88333333333333</v>
      </c>
      <c r="O723" s="4">
        <f>Employee_Data[[#This Row],[Basic Salary]]*7.5%</f>
        <v>470.16249999999997</v>
      </c>
      <c r="P723" s="2">
        <f>Employee_Data[[#This Row],[Basic Salary]]*3%</f>
        <v>188.065</v>
      </c>
      <c r="Q723" s="2">
        <f>SUM(Employee_Data[[#This Row],[Basic Salary]],Employee_Data[[#This Row],[HRA]],Employee_Data[[#This Row],[MA]],Employee_Data[[#This Row],[TA]])</f>
        <v>7553.9441666666662</v>
      </c>
      <c r="R723" s="4">
        <f>Employee_Data[[#This Row],[Basic Salary]]*12.5%</f>
        <v>783.60416666666663</v>
      </c>
      <c r="S723" s="2">
        <f>Employee_Data[[#This Row],[Annual Salary]]/12</f>
        <v>6268.833333333333</v>
      </c>
    </row>
    <row r="724" spans="1:19" x14ac:dyDescent="0.3">
      <c r="A724" t="s">
        <v>1525</v>
      </c>
      <c r="B724" t="s">
        <v>1526</v>
      </c>
      <c r="C724" t="s">
        <v>20</v>
      </c>
      <c r="D724" t="s">
        <v>21</v>
      </c>
      <c r="E724" t="s">
        <v>31</v>
      </c>
      <c r="F724" t="s">
        <v>23</v>
      </c>
      <c r="G724" t="s">
        <v>66</v>
      </c>
      <c r="H724">
        <v>50</v>
      </c>
      <c r="I724" s="1">
        <v>40923</v>
      </c>
      <c r="J724" s="2">
        <v>87727</v>
      </c>
      <c r="K724" s="3">
        <v>0</v>
      </c>
      <c r="L724" t="s">
        <v>25</v>
      </c>
      <c r="M724" t="s">
        <v>70</v>
      </c>
      <c r="N724" s="2">
        <f>Employee_Data[[#This Row],[Basic Salary]]*10%</f>
        <v>731.05833333333339</v>
      </c>
      <c r="O724" s="4">
        <f>Employee_Data[[#This Row],[Basic Salary]]*7.5%</f>
        <v>548.29374999999993</v>
      </c>
      <c r="P724" s="2">
        <f>Employee_Data[[#This Row],[Basic Salary]]*3%</f>
        <v>219.3175</v>
      </c>
      <c r="Q724" s="2">
        <f>SUM(Employee_Data[[#This Row],[Basic Salary]],Employee_Data[[#This Row],[HRA]],Employee_Data[[#This Row],[MA]],Employee_Data[[#This Row],[TA]])</f>
        <v>8809.2529166666664</v>
      </c>
      <c r="R724" s="4">
        <f>Employee_Data[[#This Row],[Basic Salary]]*12.5%</f>
        <v>913.82291666666663</v>
      </c>
      <c r="S724" s="2">
        <f>Employee_Data[[#This Row],[Annual Salary]]/12</f>
        <v>7310.583333333333</v>
      </c>
    </row>
    <row r="725" spans="1:19" x14ac:dyDescent="0.3">
      <c r="A725" t="s">
        <v>1527</v>
      </c>
      <c r="B725" t="s">
        <v>1528</v>
      </c>
      <c r="C725" t="s">
        <v>227</v>
      </c>
      <c r="D725" t="s">
        <v>4</v>
      </c>
      <c r="E725" t="s">
        <v>22</v>
      </c>
      <c r="F725" t="s">
        <v>23</v>
      </c>
      <c r="G725" t="s">
        <v>43</v>
      </c>
      <c r="H725">
        <v>51</v>
      </c>
      <c r="I725" s="1">
        <v>43272</v>
      </c>
      <c r="J725" s="2">
        <v>87897</v>
      </c>
      <c r="K725" s="3">
        <v>0</v>
      </c>
      <c r="L725" t="s">
        <v>25</v>
      </c>
      <c r="M725" t="s">
        <v>51</v>
      </c>
      <c r="N725" s="2">
        <f>Employee_Data[[#This Row],[Basic Salary]]*10%</f>
        <v>732.47500000000002</v>
      </c>
      <c r="O725" s="4">
        <f>Employee_Data[[#This Row],[Basic Salary]]*7.5%</f>
        <v>549.35624999999993</v>
      </c>
      <c r="P725" s="2">
        <f>Employee_Data[[#This Row],[Basic Salary]]*3%</f>
        <v>219.74249999999998</v>
      </c>
      <c r="Q725" s="2">
        <f>SUM(Employee_Data[[#This Row],[Basic Salary]],Employee_Data[[#This Row],[HRA]],Employee_Data[[#This Row],[MA]],Employee_Data[[#This Row],[TA]])</f>
        <v>8826.3237500000014</v>
      </c>
      <c r="R725" s="4">
        <f>Employee_Data[[#This Row],[Basic Salary]]*12.5%</f>
        <v>915.59375</v>
      </c>
      <c r="S725" s="2">
        <f>Employee_Data[[#This Row],[Annual Salary]]/12</f>
        <v>7324.75</v>
      </c>
    </row>
    <row r="726" spans="1:19" x14ac:dyDescent="0.3">
      <c r="A726" t="s">
        <v>1529</v>
      </c>
      <c r="B726" t="s">
        <v>1530</v>
      </c>
      <c r="C726" t="s">
        <v>41</v>
      </c>
      <c r="D726" t="s">
        <v>4</v>
      </c>
      <c r="E726" t="s">
        <v>36</v>
      </c>
      <c r="F726" t="s">
        <v>42</v>
      </c>
      <c r="G726" t="s">
        <v>24</v>
      </c>
      <c r="H726">
        <v>27</v>
      </c>
      <c r="I726" s="1">
        <v>44519</v>
      </c>
      <c r="J726" s="2">
        <v>99612</v>
      </c>
      <c r="K726" s="3">
        <v>0</v>
      </c>
      <c r="L726" t="s">
        <v>37</v>
      </c>
      <c r="M726" t="s">
        <v>38</v>
      </c>
      <c r="N726" s="2">
        <f>Employee_Data[[#This Row],[Basic Salary]]*10%</f>
        <v>830.1</v>
      </c>
      <c r="O726" s="4">
        <f>Employee_Data[[#This Row],[Basic Salary]]*7.5%</f>
        <v>622.57499999999993</v>
      </c>
      <c r="P726" s="2">
        <f>Employee_Data[[#This Row],[Basic Salary]]*3%</f>
        <v>249.03</v>
      </c>
      <c r="Q726" s="2">
        <f>SUM(Employee_Data[[#This Row],[Basic Salary]],Employee_Data[[#This Row],[HRA]],Employee_Data[[#This Row],[MA]],Employee_Data[[#This Row],[TA]])</f>
        <v>10002.705000000002</v>
      </c>
      <c r="R726" s="4">
        <f>Employee_Data[[#This Row],[Basic Salary]]*12.5%</f>
        <v>1037.625</v>
      </c>
      <c r="S726" s="2">
        <f>Employee_Data[[#This Row],[Annual Salary]]/12</f>
        <v>8301</v>
      </c>
    </row>
    <row r="727" spans="1:19" x14ac:dyDescent="0.3">
      <c r="A727" t="s">
        <v>1531</v>
      </c>
      <c r="B727" t="s">
        <v>1532</v>
      </c>
      <c r="C727" t="s">
        <v>29</v>
      </c>
      <c r="D727" t="s">
        <v>55</v>
      </c>
      <c r="E727" t="s">
        <v>36</v>
      </c>
      <c r="F727" t="s">
        <v>42</v>
      </c>
      <c r="G727" t="s">
        <v>43</v>
      </c>
      <c r="H727">
        <v>33</v>
      </c>
      <c r="I727" s="1">
        <v>43551</v>
      </c>
      <c r="J727" s="2">
        <v>56938</v>
      </c>
      <c r="K727" s="3">
        <v>0</v>
      </c>
      <c r="L727" t="s">
        <v>137</v>
      </c>
      <c r="M727" t="s">
        <v>183</v>
      </c>
      <c r="N727" s="2">
        <f>Employee_Data[[#This Row],[Basic Salary]]*10%</f>
        <v>474.48333333333335</v>
      </c>
      <c r="O727" s="4">
        <f>Employee_Data[[#This Row],[Basic Salary]]*7.5%</f>
        <v>355.86249999999995</v>
      </c>
      <c r="P727" s="2">
        <f>Employee_Data[[#This Row],[Basic Salary]]*3%</f>
        <v>142.345</v>
      </c>
      <c r="Q727" s="2">
        <f>SUM(Employee_Data[[#This Row],[Basic Salary]],Employee_Data[[#This Row],[HRA]],Employee_Data[[#This Row],[MA]],Employee_Data[[#This Row],[TA]])</f>
        <v>5717.524166666667</v>
      </c>
      <c r="R727" s="4">
        <f>Employee_Data[[#This Row],[Basic Salary]]*12.5%</f>
        <v>593.10416666666663</v>
      </c>
      <c r="S727" s="2">
        <f>Employee_Data[[#This Row],[Annual Salary]]/12</f>
        <v>4744.833333333333</v>
      </c>
    </row>
    <row r="728" spans="1:19" x14ac:dyDescent="0.3">
      <c r="A728" t="s">
        <v>1533</v>
      </c>
      <c r="B728" t="s">
        <v>1534</v>
      </c>
      <c r="C728" t="s">
        <v>232</v>
      </c>
      <c r="D728" t="s">
        <v>126</v>
      </c>
      <c r="E728" t="s">
        <v>31</v>
      </c>
      <c r="F728" t="s">
        <v>23</v>
      </c>
      <c r="G728" t="s">
        <v>66</v>
      </c>
      <c r="H728">
        <v>46</v>
      </c>
      <c r="I728" s="1">
        <v>40928</v>
      </c>
      <c r="J728" s="2">
        <v>92247</v>
      </c>
      <c r="K728" s="3">
        <v>0</v>
      </c>
      <c r="L728" t="s">
        <v>25</v>
      </c>
      <c r="M728" t="s">
        <v>70</v>
      </c>
      <c r="N728" s="2">
        <f>Employee_Data[[#This Row],[Basic Salary]]*10%</f>
        <v>768.72500000000002</v>
      </c>
      <c r="O728" s="4">
        <f>Employee_Data[[#This Row],[Basic Salary]]*7.5%</f>
        <v>576.54374999999993</v>
      </c>
      <c r="P728" s="2">
        <f>Employee_Data[[#This Row],[Basic Salary]]*3%</f>
        <v>230.61749999999998</v>
      </c>
      <c r="Q728" s="2">
        <f>SUM(Employee_Data[[#This Row],[Basic Salary]],Employee_Data[[#This Row],[HRA]],Employee_Data[[#This Row],[MA]],Employee_Data[[#This Row],[TA]])</f>
        <v>9263.1362500000014</v>
      </c>
      <c r="R728" s="4">
        <f>Employee_Data[[#This Row],[Basic Salary]]*12.5%</f>
        <v>960.90625</v>
      </c>
      <c r="S728" s="2">
        <f>Employee_Data[[#This Row],[Annual Salary]]/12</f>
        <v>7687.25</v>
      </c>
    </row>
    <row r="729" spans="1:19" x14ac:dyDescent="0.3">
      <c r="A729" t="s">
        <v>1535</v>
      </c>
      <c r="B729" t="s">
        <v>1536</v>
      </c>
      <c r="C729" t="s">
        <v>89</v>
      </c>
      <c r="D729" t="s">
        <v>126</v>
      </c>
      <c r="E729" t="s">
        <v>31</v>
      </c>
      <c r="F729" t="s">
        <v>42</v>
      </c>
      <c r="G729" t="s">
        <v>24</v>
      </c>
      <c r="H729">
        <v>51</v>
      </c>
      <c r="I729" s="1">
        <v>38642</v>
      </c>
      <c r="J729" s="2">
        <v>193672</v>
      </c>
      <c r="K729" s="3">
        <v>0.36</v>
      </c>
      <c r="L729" t="s">
        <v>25</v>
      </c>
      <c r="M729" t="s">
        <v>26</v>
      </c>
      <c r="N729" s="2">
        <f>Employee_Data[[#This Row],[Basic Salary]]*10%</f>
        <v>1613.9333333333334</v>
      </c>
      <c r="O729" s="4">
        <f>Employee_Data[[#This Row],[Basic Salary]]*7.5%</f>
        <v>1210.45</v>
      </c>
      <c r="P729" s="2">
        <f>Employee_Data[[#This Row],[Basic Salary]]*3%</f>
        <v>484.18</v>
      </c>
      <c r="Q729" s="2">
        <f>SUM(Employee_Data[[#This Row],[Basic Salary]],Employee_Data[[#This Row],[HRA]],Employee_Data[[#This Row],[MA]],Employee_Data[[#This Row],[TA]])</f>
        <v>19447.896666666667</v>
      </c>
      <c r="R729" s="4">
        <f>Employee_Data[[#This Row],[Basic Salary]]*12.5%</f>
        <v>2017.4166666666667</v>
      </c>
      <c r="S729" s="2">
        <f>Employee_Data[[#This Row],[Annual Salary]]/12</f>
        <v>16139.333333333334</v>
      </c>
    </row>
    <row r="730" spans="1:19" x14ac:dyDescent="0.3">
      <c r="A730" t="s">
        <v>1537</v>
      </c>
      <c r="B730" t="s">
        <v>1538</v>
      </c>
      <c r="C730" t="s">
        <v>73</v>
      </c>
      <c r="D730" t="s">
        <v>4</v>
      </c>
      <c r="E730" t="s">
        <v>22</v>
      </c>
      <c r="F730" t="s">
        <v>23</v>
      </c>
      <c r="G730" t="s">
        <v>24</v>
      </c>
      <c r="H730">
        <v>31</v>
      </c>
      <c r="I730" s="1">
        <v>43379</v>
      </c>
      <c r="J730" s="2">
        <v>46098</v>
      </c>
      <c r="K730" s="3">
        <v>0</v>
      </c>
      <c r="L730" t="s">
        <v>37</v>
      </c>
      <c r="M730" t="s">
        <v>38</v>
      </c>
      <c r="N730" s="2">
        <f>Employee_Data[[#This Row],[Basic Salary]]*10%</f>
        <v>384.15000000000003</v>
      </c>
      <c r="O730" s="4">
        <f>Employee_Data[[#This Row],[Basic Salary]]*7.5%</f>
        <v>288.11250000000001</v>
      </c>
      <c r="P730" s="2">
        <f>Employee_Data[[#This Row],[Basic Salary]]*3%</f>
        <v>115.24499999999999</v>
      </c>
      <c r="Q730" s="2">
        <f>SUM(Employee_Data[[#This Row],[Basic Salary]],Employee_Data[[#This Row],[HRA]],Employee_Data[[#This Row],[MA]],Employee_Data[[#This Row],[TA]])</f>
        <v>4629.0074999999997</v>
      </c>
      <c r="R730" s="4">
        <f>Employee_Data[[#This Row],[Basic Salary]]*12.5%</f>
        <v>480.1875</v>
      </c>
      <c r="S730" s="2">
        <f>Employee_Data[[#This Row],[Annual Salary]]/12</f>
        <v>3841.5</v>
      </c>
    </row>
    <row r="731" spans="1:19" x14ac:dyDescent="0.3">
      <c r="A731" t="s">
        <v>1539</v>
      </c>
      <c r="B731" t="s">
        <v>1540</v>
      </c>
      <c r="C731" t="s">
        <v>89</v>
      </c>
      <c r="D731" t="s">
        <v>30</v>
      </c>
      <c r="E731" t="s">
        <v>22</v>
      </c>
      <c r="F731" t="s">
        <v>23</v>
      </c>
      <c r="G731" t="s">
        <v>66</v>
      </c>
      <c r="H731">
        <v>45</v>
      </c>
      <c r="I731" s="1">
        <v>41966</v>
      </c>
      <c r="J731" s="2">
        <v>239980</v>
      </c>
      <c r="K731" s="3">
        <v>0.31</v>
      </c>
      <c r="L731" t="s">
        <v>25</v>
      </c>
      <c r="M731" t="s">
        <v>48</v>
      </c>
      <c r="N731" s="2">
        <f>Employee_Data[[#This Row],[Basic Salary]]*10%</f>
        <v>1999.8333333333333</v>
      </c>
      <c r="O731" s="4">
        <f>Employee_Data[[#This Row],[Basic Salary]]*7.5%</f>
        <v>1499.8749999999998</v>
      </c>
      <c r="P731" s="2">
        <f>Employee_Data[[#This Row],[Basic Salary]]*3%</f>
        <v>599.94999999999993</v>
      </c>
      <c r="Q731" s="2">
        <f>SUM(Employee_Data[[#This Row],[Basic Salary]],Employee_Data[[#This Row],[HRA]],Employee_Data[[#This Row],[MA]],Employee_Data[[#This Row],[TA]])</f>
        <v>24097.991666666665</v>
      </c>
      <c r="R731" s="4">
        <f>Employee_Data[[#This Row],[Basic Salary]]*12.5%</f>
        <v>2499.7916666666665</v>
      </c>
      <c r="S731" s="2">
        <f>Employee_Data[[#This Row],[Annual Salary]]/12</f>
        <v>19998.333333333332</v>
      </c>
    </row>
    <row r="732" spans="1:19" x14ac:dyDescent="0.3">
      <c r="A732" t="s">
        <v>1541</v>
      </c>
      <c r="B732" t="s">
        <v>1542</v>
      </c>
      <c r="C732" t="s">
        <v>69</v>
      </c>
      <c r="D732" t="s">
        <v>61</v>
      </c>
      <c r="E732" t="s">
        <v>31</v>
      </c>
      <c r="F732" t="s">
        <v>23</v>
      </c>
      <c r="G732" t="s">
        <v>24</v>
      </c>
      <c r="H732">
        <v>38</v>
      </c>
      <c r="I732" s="1">
        <v>40737</v>
      </c>
      <c r="J732" s="2">
        <v>121546</v>
      </c>
      <c r="K732" s="3">
        <v>0.1</v>
      </c>
      <c r="L732" t="s">
        <v>37</v>
      </c>
      <c r="M732" t="s">
        <v>38</v>
      </c>
      <c r="N732" s="2">
        <f>Employee_Data[[#This Row],[Basic Salary]]*10%</f>
        <v>1012.8833333333334</v>
      </c>
      <c r="O732" s="4">
        <f>Employee_Data[[#This Row],[Basic Salary]]*7.5%</f>
        <v>759.66250000000002</v>
      </c>
      <c r="P732" s="2">
        <f>Employee_Data[[#This Row],[Basic Salary]]*3%</f>
        <v>303.86500000000001</v>
      </c>
      <c r="Q732" s="2">
        <f>SUM(Employee_Data[[#This Row],[Basic Salary]],Employee_Data[[#This Row],[HRA]],Employee_Data[[#This Row],[MA]],Employee_Data[[#This Row],[TA]])</f>
        <v>12205.244166666667</v>
      </c>
      <c r="R732" s="4">
        <f>Employee_Data[[#This Row],[Basic Salary]]*12.5%</f>
        <v>1266.1041666666667</v>
      </c>
      <c r="S732" s="2">
        <f>Employee_Data[[#This Row],[Annual Salary]]/12</f>
        <v>10128.833333333334</v>
      </c>
    </row>
    <row r="733" spans="1:19" x14ac:dyDescent="0.3">
      <c r="A733" t="s">
        <v>1543</v>
      </c>
      <c r="B733" t="s">
        <v>1544</v>
      </c>
      <c r="C733" t="s">
        <v>69</v>
      </c>
      <c r="D733" t="s">
        <v>55</v>
      </c>
      <c r="E733" t="s">
        <v>56</v>
      </c>
      <c r="F733" t="s">
        <v>42</v>
      </c>
      <c r="G733" t="s">
        <v>43</v>
      </c>
      <c r="H733">
        <v>42</v>
      </c>
      <c r="I733" s="1">
        <v>40229</v>
      </c>
      <c r="J733" s="2">
        <v>128714</v>
      </c>
      <c r="K733" s="3">
        <v>7.0000000000000007E-2</v>
      </c>
      <c r="L733" t="s">
        <v>137</v>
      </c>
      <c r="M733" t="s">
        <v>183</v>
      </c>
      <c r="N733" s="2">
        <f>Employee_Data[[#This Row],[Basic Salary]]*10%</f>
        <v>1072.6166666666666</v>
      </c>
      <c r="O733" s="4">
        <f>Employee_Data[[#This Row],[Basic Salary]]*7.5%</f>
        <v>804.46249999999998</v>
      </c>
      <c r="P733" s="2">
        <f>Employee_Data[[#This Row],[Basic Salary]]*3%</f>
        <v>321.78499999999997</v>
      </c>
      <c r="Q733" s="2">
        <f>SUM(Employee_Data[[#This Row],[Basic Salary]],Employee_Data[[#This Row],[HRA]],Employee_Data[[#This Row],[MA]],Employee_Data[[#This Row],[TA]])</f>
        <v>12925.030833333332</v>
      </c>
      <c r="R733" s="4">
        <f>Employee_Data[[#This Row],[Basic Salary]]*12.5%</f>
        <v>1340.7708333333333</v>
      </c>
      <c r="S733" s="2">
        <f>Employee_Data[[#This Row],[Annual Salary]]/12</f>
        <v>10726.166666666666</v>
      </c>
    </row>
    <row r="734" spans="1:19" x14ac:dyDescent="0.3">
      <c r="A734" t="s">
        <v>1545</v>
      </c>
      <c r="B734" t="s">
        <v>1546</v>
      </c>
      <c r="C734" t="s">
        <v>408</v>
      </c>
      <c r="D734" t="s">
        <v>21</v>
      </c>
      <c r="E734" t="s">
        <v>22</v>
      </c>
      <c r="F734" t="s">
        <v>23</v>
      </c>
      <c r="G734" t="s">
        <v>43</v>
      </c>
      <c r="H734">
        <v>43</v>
      </c>
      <c r="I734" s="1">
        <v>43356</v>
      </c>
      <c r="J734" s="2">
        <v>91537</v>
      </c>
      <c r="K734" s="3">
        <v>0</v>
      </c>
      <c r="L734" t="s">
        <v>25</v>
      </c>
      <c r="M734" t="s">
        <v>32</v>
      </c>
      <c r="N734" s="2">
        <f>Employee_Data[[#This Row],[Basic Salary]]*10%</f>
        <v>762.80833333333339</v>
      </c>
      <c r="O734" s="4">
        <f>Employee_Data[[#This Row],[Basic Salary]]*7.5%</f>
        <v>572.10624999999993</v>
      </c>
      <c r="P734" s="2">
        <f>Employee_Data[[#This Row],[Basic Salary]]*3%</f>
        <v>228.84249999999997</v>
      </c>
      <c r="Q734" s="2">
        <f>SUM(Employee_Data[[#This Row],[Basic Salary]],Employee_Data[[#This Row],[HRA]],Employee_Data[[#This Row],[MA]],Employee_Data[[#This Row],[TA]])</f>
        <v>9191.8404166666678</v>
      </c>
      <c r="R734" s="4">
        <f>Employee_Data[[#This Row],[Basic Salary]]*12.5%</f>
        <v>953.51041666666663</v>
      </c>
      <c r="S734" s="2">
        <f>Employee_Data[[#This Row],[Annual Salary]]/12</f>
        <v>7628.083333333333</v>
      </c>
    </row>
    <row r="735" spans="1:19" x14ac:dyDescent="0.3">
      <c r="A735" t="s">
        <v>1547</v>
      </c>
      <c r="B735" t="s">
        <v>1548</v>
      </c>
      <c r="C735" t="s">
        <v>47</v>
      </c>
      <c r="D735" t="s">
        <v>4</v>
      </c>
      <c r="E735" t="s">
        <v>31</v>
      </c>
      <c r="F735" t="s">
        <v>23</v>
      </c>
      <c r="G735" t="s">
        <v>66</v>
      </c>
      <c r="H735">
        <v>28</v>
      </c>
      <c r="I735" s="1">
        <v>43958</v>
      </c>
      <c r="J735" s="2">
        <v>178300</v>
      </c>
      <c r="K735" s="3">
        <v>0.24</v>
      </c>
      <c r="L735" t="s">
        <v>25</v>
      </c>
      <c r="M735" t="s">
        <v>48</v>
      </c>
      <c r="N735" s="2">
        <f>Employee_Data[[#This Row],[Basic Salary]]*10%</f>
        <v>1485.8333333333335</v>
      </c>
      <c r="O735" s="4">
        <f>Employee_Data[[#This Row],[Basic Salary]]*7.5%</f>
        <v>1114.375</v>
      </c>
      <c r="P735" s="2">
        <f>Employee_Data[[#This Row],[Basic Salary]]*3%</f>
        <v>445.75</v>
      </c>
      <c r="Q735" s="2">
        <f>SUM(Employee_Data[[#This Row],[Basic Salary]],Employee_Data[[#This Row],[HRA]],Employee_Data[[#This Row],[MA]],Employee_Data[[#This Row],[TA]])</f>
        <v>17904.291666666668</v>
      </c>
      <c r="R735" s="4">
        <f>Employee_Data[[#This Row],[Basic Salary]]*12.5%</f>
        <v>1857.2916666666667</v>
      </c>
      <c r="S735" s="2">
        <f>Employee_Data[[#This Row],[Annual Salary]]/12</f>
        <v>14858.333333333334</v>
      </c>
    </row>
    <row r="736" spans="1:19" x14ac:dyDescent="0.3">
      <c r="A736" t="s">
        <v>1549</v>
      </c>
      <c r="B736" t="s">
        <v>1550</v>
      </c>
      <c r="C736" t="s">
        <v>60</v>
      </c>
      <c r="D736" t="s">
        <v>61</v>
      </c>
      <c r="E736" t="s">
        <v>36</v>
      </c>
      <c r="F736" t="s">
        <v>42</v>
      </c>
      <c r="G736" t="s">
        <v>24</v>
      </c>
      <c r="H736">
        <v>57</v>
      </c>
      <c r="I736" s="1">
        <v>43241</v>
      </c>
      <c r="J736" s="2">
        <v>50260</v>
      </c>
      <c r="K736" s="3">
        <v>0</v>
      </c>
      <c r="L736" t="s">
        <v>37</v>
      </c>
      <c r="M736" t="s">
        <v>62</v>
      </c>
      <c r="N736" s="2">
        <f>Employee_Data[[#This Row],[Basic Salary]]*10%</f>
        <v>418.83333333333331</v>
      </c>
      <c r="O736" s="4">
        <f>Employee_Data[[#This Row],[Basic Salary]]*7.5%</f>
        <v>314.12499999999994</v>
      </c>
      <c r="P736" s="2">
        <f>Employee_Data[[#This Row],[Basic Salary]]*3%</f>
        <v>125.64999999999999</v>
      </c>
      <c r="Q736" s="2">
        <f>SUM(Employee_Data[[#This Row],[Basic Salary]],Employee_Data[[#This Row],[HRA]],Employee_Data[[#This Row],[MA]],Employee_Data[[#This Row],[TA]])</f>
        <v>5046.9416666666657</v>
      </c>
      <c r="R736" s="4">
        <f>Employee_Data[[#This Row],[Basic Salary]]*12.5%</f>
        <v>523.54166666666663</v>
      </c>
      <c r="S736" s="2">
        <f>Employee_Data[[#This Row],[Annual Salary]]/12</f>
        <v>4188.333333333333</v>
      </c>
    </row>
    <row r="737" spans="1:19" x14ac:dyDescent="0.3">
      <c r="A737" t="s">
        <v>1551</v>
      </c>
      <c r="B737" t="s">
        <v>1552</v>
      </c>
      <c r="C737" t="s">
        <v>47</v>
      </c>
      <c r="D737" t="s">
        <v>21</v>
      </c>
      <c r="E737" t="s">
        <v>36</v>
      </c>
      <c r="F737" t="s">
        <v>23</v>
      </c>
      <c r="G737" t="s">
        <v>24</v>
      </c>
      <c r="H737">
        <v>33</v>
      </c>
      <c r="I737" s="1">
        <v>42588</v>
      </c>
      <c r="J737" s="2">
        <v>161800</v>
      </c>
      <c r="K737" s="3">
        <v>0.19</v>
      </c>
      <c r="L737" t="s">
        <v>37</v>
      </c>
      <c r="M737" t="s">
        <v>57</v>
      </c>
      <c r="N737" s="2">
        <f>Employee_Data[[#This Row],[Basic Salary]]*10%</f>
        <v>1348.3333333333335</v>
      </c>
      <c r="O737" s="4">
        <f>Employee_Data[[#This Row],[Basic Salary]]*7.5%</f>
        <v>1011.25</v>
      </c>
      <c r="P737" s="2">
        <f>Employee_Data[[#This Row],[Basic Salary]]*3%</f>
        <v>404.5</v>
      </c>
      <c r="Q737" s="2">
        <f>SUM(Employee_Data[[#This Row],[Basic Salary]],Employee_Data[[#This Row],[HRA]],Employee_Data[[#This Row],[MA]],Employee_Data[[#This Row],[TA]])</f>
        <v>16247.416666666668</v>
      </c>
      <c r="R737" s="4">
        <f>Employee_Data[[#This Row],[Basic Salary]]*12.5%</f>
        <v>1685.4166666666667</v>
      </c>
      <c r="S737" s="2">
        <f>Employee_Data[[#This Row],[Annual Salary]]/12</f>
        <v>13483.333333333334</v>
      </c>
    </row>
    <row r="738" spans="1:19" x14ac:dyDescent="0.3">
      <c r="A738" t="s">
        <v>1553</v>
      </c>
      <c r="B738" t="s">
        <v>1554</v>
      </c>
      <c r="C738" t="s">
        <v>83</v>
      </c>
      <c r="D738" t="s">
        <v>61</v>
      </c>
      <c r="E738" t="s">
        <v>31</v>
      </c>
      <c r="F738" t="s">
        <v>23</v>
      </c>
      <c r="G738" t="s">
        <v>24</v>
      </c>
      <c r="H738">
        <v>32</v>
      </c>
      <c r="I738" s="1">
        <v>44113</v>
      </c>
      <c r="J738" s="2">
        <v>157616</v>
      </c>
      <c r="K738" s="3">
        <v>0.1</v>
      </c>
      <c r="L738" t="s">
        <v>37</v>
      </c>
      <c r="M738" t="s">
        <v>38</v>
      </c>
      <c r="N738" s="2">
        <f>Employee_Data[[#This Row],[Basic Salary]]*10%</f>
        <v>1313.4666666666667</v>
      </c>
      <c r="O738" s="4">
        <f>Employee_Data[[#This Row],[Basic Salary]]*7.5%</f>
        <v>985.09999999999991</v>
      </c>
      <c r="P738" s="2">
        <f>Employee_Data[[#This Row],[Basic Salary]]*3%</f>
        <v>394.03999999999996</v>
      </c>
      <c r="Q738" s="2">
        <f>SUM(Employee_Data[[#This Row],[Basic Salary]],Employee_Data[[#This Row],[HRA]],Employee_Data[[#This Row],[MA]],Employee_Data[[#This Row],[TA]])</f>
        <v>15827.273333333334</v>
      </c>
      <c r="R738" s="4">
        <f>Employee_Data[[#This Row],[Basic Salary]]*12.5%</f>
        <v>1641.8333333333333</v>
      </c>
      <c r="S738" s="2">
        <f>Employee_Data[[#This Row],[Annual Salary]]/12</f>
        <v>13134.666666666666</v>
      </c>
    </row>
    <row r="739" spans="1:19" x14ac:dyDescent="0.3">
      <c r="A739" t="s">
        <v>1555</v>
      </c>
      <c r="B739" t="s">
        <v>1556</v>
      </c>
      <c r="C739" t="s">
        <v>413</v>
      </c>
      <c r="D739" t="s">
        <v>21</v>
      </c>
      <c r="E739" t="s">
        <v>31</v>
      </c>
      <c r="F739" t="s">
        <v>23</v>
      </c>
      <c r="G739" t="s">
        <v>24</v>
      </c>
      <c r="H739">
        <v>45</v>
      </c>
      <c r="I739" s="1">
        <v>39801</v>
      </c>
      <c r="J739" s="2">
        <v>82697</v>
      </c>
      <c r="K739" s="3">
        <v>0</v>
      </c>
      <c r="L739" t="s">
        <v>37</v>
      </c>
      <c r="M739" t="s">
        <v>111</v>
      </c>
      <c r="N739" s="2">
        <f>Employee_Data[[#This Row],[Basic Salary]]*10%</f>
        <v>689.14166666666677</v>
      </c>
      <c r="O739" s="4">
        <f>Employee_Data[[#This Row],[Basic Salary]]*7.5%</f>
        <v>516.85625000000005</v>
      </c>
      <c r="P739" s="2">
        <f>Employee_Data[[#This Row],[Basic Salary]]*3%</f>
        <v>206.74250000000001</v>
      </c>
      <c r="Q739" s="2">
        <f>SUM(Employee_Data[[#This Row],[Basic Salary]],Employee_Data[[#This Row],[HRA]],Employee_Data[[#This Row],[MA]],Employee_Data[[#This Row],[TA]])</f>
        <v>8304.1570833333335</v>
      </c>
      <c r="R739" s="4">
        <f>Employee_Data[[#This Row],[Basic Salary]]*12.5%</f>
        <v>861.42708333333337</v>
      </c>
      <c r="S739" s="2">
        <f>Employee_Data[[#This Row],[Annual Salary]]/12</f>
        <v>6891.416666666667</v>
      </c>
    </row>
    <row r="740" spans="1:19" x14ac:dyDescent="0.3">
      <c r="A740" t="s">
        <v>1557</v>
      </c>
      <c r="B740" t="s">
        <v>1558</v>
      </c>
      <c r="C740" t="s">
        <v>83</v>
      </c>
      <c r="D740" t="s">
        <v>4</v>
      </c>
      <c r="E740" t="s">
        <v>31</v>
      </c>
      <c r="F740" t="s">
        <v>42</v>
      </c>
      <c r="G740" t="s">
        <v>24</v>
      </c>
      <c r="H740">
        <v>33</v>
      </c>
      <c r="I740" s="1">
        <v>43364</v>
      </c>
      <c r="J740" s="2">
        <v>124404</v>
      </c>
      <c r="K740" s="3">
        <v>0.12</v>
      </c>
      <c r="L740" t="s">
        <v>37</v>
      </c>
      <c r="M740" t="s">
        <v>57</v>
      </c>
      <c r="N740" s="2">
        <f>Employee_Data[[#This Row],[Basic Salary]]*10%</f>
        <v>1036.7</v>
      </c>
      <c r="O740" s="4">
        <f>Employee_Data[[#This Row],[Basic Salary]]*7.5%</f>
        <v>777.52499999999998</v>
      </c>
      <c r="P740" s="2">
        <f>Employee_Data[[#This Row],[Basic Salary]]*3%</f>
        <v>311.01</v>
      </c>
      <c r="Q740" s="2">
        <f>SUM(Employee_Data[[#This Row],[Basic Salary]],Employee_Data[[#This Row],[HRA]],Employee_Data[[#This Row],[MA]],Employee_Data[[#This Row],[TA]])</f>
        <v>12492.235000000001</v>
      </c>
      <c r="R740" s="4">
        <f>Employee_Data[[#This Row],[Basic Salary]]*12.5%</f>
        <v>1295.875</v>
      </c>
      <c r="S740" s="2">
        <f>Employee_Data[[#This Row],[Annual Salary]]/12</f>
        <v>10367</v>
      </c>
    </row>
    <row r="741" spans="1:19" x14ac:dyDescent="0.3">
      <c r="A741" t="s">
        <v>1559</v>
      </c>
      <c r="B741" t="s">
        <v>1560</v>
      </c>
      <c r="C741" t="s">
        <v>83</v>
      </c>
      <c r="D741" t="s">
        <v>4</v>
      </c>
      <c r="E741" t="s">
        <v>56</v>
      </c>
      <c r="F741" t="s">
        <v>23</v>
      </c>
      <c r="G741" t="s">
        <v>24</v>
      </c>
      <c r="H741">
        <v>43</v>
      </c>
      <c r="I741" s="1">
        <v>40998</v>
      </c>
      <c r="J741" s="2">
        <v>158750</v>
      </c>
      <c r="K741" s="3">
        <v>0.12</v>
      </c>
      <c r="L741" t="s">
        <v>37</v>
      </c>
      <c r="M741" t="s">
        <v>57</v>
      </c>
      <c r="N741" s="2">
        <f>Employee_Data[[#This Row],[Basic Salary]]*10%</f>
        <v>1322.9166666666667</v>
      </c>
      <c r="O741" s="4">
        <f>Employee_Data[[#This Row],[Basic Salary]]*7.5%</f>
        <v>992.18749999999989</v>
      </c>
      <c r="P741" s="2">
        <f>Employee_Data[[#This Row],[Basic Salary]]*3%</f>
        <v>396.87499999999994</v>
      </c>
      <c r="Q741" s="2">
        <f>SUM(Employee_Data[[#This Row],[Basic Salary]],Employee_Data[[#This Row],[HRA]],Employee_Data[[#This Row],[MA]],Employee_Data[[#This Row],[TA]])</f>
        <v>15941.145833333332</v>
      </c>
      <c r="R741" s="4">
        <f>Employee_Data[[#This Row],[Basic Salary]]*12.5%</f>
        <v>1653.6458333333333</v>
      </c>
      <c r="S741" s="2">
        <f>Employee_Data[[#This Row],[Annual Salary]]/12</f>
        <v>13229.166666666666</v>
      </c>
    </row>
    <row r="742" spans="1:19" x14ac:dyDescent="0.3">
      <c r="A742" t="s">
        <v>1561</v>
      </c>
      <c r="B742" t="s">
        <v>1562</v>
      </c>
      <c r="C742" t="s">
        <v>60</v>
      </c>
      <c r="D742" t="s">
        <v>30</v>
      </c>
      <c r="E742" t="s">
        <v>22</v>
      </c>
      <c r="F742" t="s">
        <v>42</v>
      </c>
      <c r="G742" t="s">
        <v>66</v>
      </c>
      <c r="H742">
        <v>62</v>
      </c>
      <c r="I742" s="1">
        <v>42316</v>
      </c>
      <c r="J742" s="2">
        <v>69057</v>
      </c>
      <c r="K742" s="3">
        <v>0</v>
      </c>
      <c r="L742" t="s">
        <v>25</v>
      </c>
      <c r="M742" t="s">
        <v>32</v>
      </c>
      <c r="N742" s="2">
        <f>Employee_Data[[#This Row],[Basic Salary]]*10%</f>
        <v>575.47500000000002</v>
      </c>
      <c r="O742" s="4">
        <f>Employee_Data[[#This Row],[Basic Salary]]*7.5%</f>
        <v>431.60624999999999</v>
      </c>
      <c r="P742" s="2">
        <f>Employee_Data[[#This Row],[Basic Salary]]*3%</f>
        <v>172.64249999999998</v>
      </c>
      <c r="Q742" s="2">
        <f>SUM(Employee_Data[[#This Row],[Basic Salary]],Employee_Data[[#This Row],[HRA]],Employee_Data[[#This Row],[MA]],Employee_Data[[#This Row],[TA]])</f>
        <v>6934.4737500000001</v>
      </c>
      <c r="R742" s="4">
        <f>Employee_Data[[#This Row],[Basic Salary]]*12.5%</f>
        <v>719.34375</v>
      </c>
      <c r="S742" s="2">
        <f>Employee_Data[[#This Row],[Annual Salary]]/12</f>
        <v>5754.75</v>
      </c>
    </row>
    <row r="743" spans="1:19" x14ac:dyDescent="0.3">
      <c r="A743" t="s">
        <v>1563</v>
      </c>
      <c r="B743" t="s">
        <v>1564</v>
      </c>
      <c r="C743" t="s">
        <v>83</v>
      </c>
      <c r="D743" t="s">
        <v>80</v>
      </c>
      <c r="E743" t="s">
        <v>56</v>
      </c>
      <c r="F743" t="s">
        <v>42</v>
      </c>
      <c r="G743" t="s">
        <v>43</v>
      </c>
      <c r="H743">
        <v>36</v>
      </c>
      <c r="I743" s="1">
        <v>43473</v>
      </c>
      <c r="J743" s="2">
        <v>157976</v>
      </c>
      <c r="K743" s="3">
        <v>0.1</v>
      </c>
      <c r="L743" t="s">
        <v>137</v>
      </c>
      <c r="M743" t="s">
        <v>138</v>
      </c>
      <c r="N743" s="2">
        <f>Employee_Data[[#This Row],[Basic Salary]]*10%</f>
        <v>1316.4666666666667</v>
      </c>
      <c r="O743" s="4">
        <f>Employee_Data[[#This Row],[Basic Salary]]*7.5%</f>
        <v>987.34999999999991</v>
      </c>
      <c r="P743" s="2">
        <f>Employee_Data[[#This Row],[Basic Salary]]*3%</f>
        <v>394.93999999999994</v>
      </c>
      <c r="Q743" s="2">
        <f>SUM(Employee_Data[[#This Row],[Basic Salary]],Employee_Data[[#This Row],[HRA]],Employee_Data[[#This Row],[MA]],Employee_Data[[#This Row],[TA]])</f>
        <v>15863.423333333334</v>
      </c>
      <c r="R743" s="4">
        <f>Employee_Data[[#This Row],[Basic Salary]]*12.5%</f>
        <v>1645.5833333333333</v>
      </c>
      <c r="S743" s="2">
        <f>Employee_Data[[#This Row],[Annual Salary]]/12</f>
        <v>13164.666666666666</v>
      </c>
    </row>
    <row r="744" spans="1:19" x14ac:dyDescent="0.3">
      <c r="A744" t="s">
        <v>1565</v>
      </c>
      <c r="B744" t="s">
        <v>1566</v>
      </c>
      <c r="C744" t="s">
        <v>29</v>
      </c>
      <c r="D744" t="s">
        <v>30</v>
      </c>
      <c r="E744" t="s">
        <v>31</v>
      </c>
      <c r="F744" t="s">
        <v>42</v>
      </c>
      <c r="G744" t="s">
        <v>43</v>
      </c>
      <c r="H744">
        <v>36</v>
      </c>
      <c r="I744" s="1">
        <v>44010</v>
      </c>
      <c r="J744" s="2">
        <v>54355</v>
      </c>
      <c r="K744" s="3">
        <v>0</v>
      </c>
      <c r="L744" t="s">
        <v>25</v>
      </c>
      <c r="M744" t="s">
        <v>51</v>
      </c>
      <c r="N744" s="2">
        <f>Employee_Data[[#This Row],[Basic Salary]]*10%</f>
        <v>452.95833333333331</v>
      </c>
      <c r="O744" s="4">
        <f>Employee_Data[[#This Row],[Basic Salary]]*7.5%</f>
        <v>339.71874999999994</v>
      </c>
      <c r="P744" s="2">
        <f>Employee_Data[[#This Row],[Basic Salary]]*3%</f>
        <v>135.88749999999999</v>
      </c>
      <c r="Q744" s="2">
        <f>SUM(Employee_Data[[#This Row],[Basic Salary]],Employee_Data[[#This Row],[HRA]],Employee_Data[[#This Row],[MA]],Employee_Data[[#This Row],[TA]])</f>
        <v>5458.1479166666659</v>
      </c>
      <c r="R744" s="4">
        <f>Employee_Data[[#This Row],[Basic Salary]]*12.5%</f>
        <v>566.19791666666663</v>
      </c>
      <c r="S744" s="2">
        <f>Employee_Data[[#This Row],[Annual Salary]]/12</f>
        <v>4529.583333333333</v>
      </c>
    </row>
    <row r="745" spans="1:19" x14ac:dyDescent="0.3">
      <c r="A745" t="s">
        <v>1567</v>
      </c>
      <c r="B745" t="s">
        <v>1568</v>
      </c>
      <c r="C745" t="s">
        <v>292</v>
      </c>
      <c r="D745" t="s">
        <v>21</v>
      </c>
      <c r="E745" t="s">
        <v>22</v>
      </c>
      <c r="F745" t="s">
        <v>42</v>
      </c>
      <c r="G745" t="s">
        <v>24</v>
      </c>
      <c r="H745">
        <v>31</v>
      </c>
      <c r="I745" s="1">
        <v>44751</v>
      </c>
      <c r="J745" s="2">
        <v>72475</v>
      </c>
      <c r="K745" s="3">
        <v>0</v>
      </c>
      <c r="L745" t="s">
        <v>25</v>
      </c>
      <c r="M745" t="s">
        <v>51</v>
      </c>
      <c r="N745" s="2">
        <f>Employee_Data[[#This Row],[Basic Salary]]*10%</f>
        <v>603.95833333333337</v>
      </c>
      <c r="O745" s="4">
        <f>Employee_Data[[#This Row],[Basic Salary]]*7.5%</f>
        <v>452.96874999999994</v>
      </c>
      <c r="P745" s="2">
        <f>Employee_Data[[#This Row],[Basic Salary]]*3%</f>
        <v>181.18749999999997</v>
      </c>
      <c r="Q745" s="2">
        <f>SUM(Employee_Data[[#This Row],[Basic Salary]],Employee_Data[[#This Row],[HRA]],Employee_Data[[#This Row],[MA]],Employee_Data[[#This Row],[TA]])</f>
        <v>7277.6979166666661</v>
      </c>
      <c r="R745" s="4">
        <f>Employee_Data[[#This Row],[Basic Salary]]*12.5%</f>
        <v>754.94791666666663</v>
      </c>
      <c r="S745" s="2">
        <f>Employee_Data[[#This Row],[Annual Salary]]/12</f>
        <v>6039.583333333333</v>
      </c>
    </row>
    <row r="746" spans="1:19" x14ac:dyDescent="0.3">
      <c r="A746" t="s">
        <v>1569</v>
      </c>
      <c r="B746" t="s">
        <v>1570</v>
      </c>
      <c r="C746" t="s">
        <v>268</v>
      </c>
      <c r="D746" t="s">
        <v>21</v>
      </c>
      <c r="E746" t="s">
        <v>22</v>
      </c>
      <c r="F746" t="s">
        <v>23</v>
      </c>
      <c r="G746" t="s">
        <v>24</v>
      </c>
      <c r="H746">
        <v>62</v>
      </c>
      <c r="I746" s="1">
        <v>37968</v>
      </c>
      <c r="J746" s="2">
        <v>80132</v>
      </c>
      <c r="K746" s="3">
        <v>0.14000000000000001</v>
      </c>
      <c r="L746" t="s">
        <v>37</v>
      </c>
      <c r="M746" t="s">
        <v>57</v>
      </c>
      <c r="N746" s="2">
        <f>Employee_Data[[#This Row],[Basic Salary]]*10%</f>
        <v>667.76666666666677</v>
      </c>
      <c r="O746" s="4">
        <f>Employee_Data[[#This Row],[Basic Salary]]*7.5%</f>
        <v>500.82499999999999</v>
      </c>
      <c r="P746" s="2">
        <f>Employee_Data[[#This Row],[Basic Salary]]*3%</f>
        <v>200.33</v>
      </c>
      <c r="Q746" s="2">
        <f>SUM(Employee_Data[[#This Row],[Basic Salary]],Employee_Data[[#This Row],[HRA]],Employee_Data[[#This Row],[MA]],Employee_Data[[#This Row],[TA]])</f>
        <v>8046.5883333333331</v>
      </c>
      <c r="R746" s="4">
        <f>Employee_Data[[#This Row],[Basic Salary]]*12.5%</f>
        <v>834.70833333333337</v>
      </c>
      <c r="S746" s="2">
        <f>Employee_Data[[#This Row],[Annual Salary]]/12</f>
        <v>6677.666666666667</v>
      </c>
    </row>
    <row r="747" spans="1:19" x14ac:dyDescent="0.3">
      <c r="A747" t="s">
        <v>1571</v>
      </c>
      <c r="B747" t="s">
        <v>1572</v>
      </c>
      <c r="C747" t="s">
        <v>29</v>
      </c>
      <c r="D747" t="s">
        <v>55</v>
      </c>
      <c r="E747" t="s">
        <v>36</v>
      </c>
      <c r="F747" t="s">
        <v>23</v>
      </c>
      <c r="G747" t="s">
        <v>24</v>
      </c>
      <c r="H747">
        <v>30</v>
      </c>
      <c r="I747" s="1">
        <v>43386</v>
      </c>
      <c r="J747" s="2">
        <v>52292</v>
      </c>
      <c r="K747" s="3">
        <v>0</v>
      </c>
      <c r="L747" t="s">
        <v>37</v>
      </c>
      <c r="M747" t="s">
        <v>62</v>
      </c>
      <c r="N747" s="2">
        <f>Employee_Data[[#This Row],[Basic Salary]]*10%</f>
        <v>435.76666666666671</v>
      </c>
      <c r="O747" s="4">
        <f>Employee_Data[[#This Row],[Basic Salary]]*7.5%</f>
        <v>326.82499999999999</v>
      </c>
      <c r="P747" s="2">
        <f>Employee_Data[[#This Row],[Basic Salary]]*3%</f>
        <v>130.73000000000002</v>
      </c>
      <c r="Q747" s="2">
        <f>SUM(Employee_Data[[#This Row],[Basic Salary]],Employee_Data[[#This Row],[HRA]],Employee_Data[[#This Row],[MA]],Employee_Data[[#This Row],[TA]])</f>
        <v>5250.9883333333328</v>
      </c>
      <c r="R747" s="4">
        <f>Employee_Data[[#This Row],[Basic Salary]]*12.5%</f>
        <v>544.70833333333337</v>
      </c>
      <c r="S747" s="2">
        <f>Employee_Data[[#This Row],[Annual Salary]]/12</f>
        <v>4357.666666666667</v>
      </c>
    </row>
    <row r="748" spans="1:19" x14ac:dyDescent="0.3">
      <c r="A748" t="s">
        <v>1573</v>
      </c>
      <c r="B748" t="s">
        <v>1574</v>
      </c>
      <c r="C748" t="s">
        <v>164</v>
      </c>
      <c r="D748" t="s">
        <v>4</v>
      </c>
      <c r="E748" t="s">
        <v>56</v>
      </c>
      <c r="F748" t="s">
        <v>42</v>
      </c>
      <c r="G748" t="s">
        <v>66</v>
      </c>
      <c r="H748">
        <v>46</v>
      </c>
      <c r="I748" s="1">
        <v>44569</v>
      </c>
      <c r="J748" s="2">
        <v>69110</v>
      </c>
      <c r="K748" s="3">
        <v>0</v>
      </c>
      <c r="L748" t="s">
        <v>25</v>
      </c>
      <c r="M748" t="s">
        <v>44</v>
      </c>
      <c r="N748" s="2">
        <f>Employee_Data[[#This Row],[Basic Salary]]*10%</f>
        <v>575.91666666666674</v>
      </c>
      <c r="O748" s="4">
        <f>Employee_Data[[#This Row],[Basic Salary]]*7.5%</f>
        <v>431.9375</v>
      </c>
      <c r="P748" s="2">
        <f>Employee_Data[[#This Row],[Basic Salary]]*3%</f>
        <v>172.77500000000001</v>
      </c>
      <c r="Q748" s="2">
        <f>SUM(Employee_Data[[#This Row],[Basic Salary]],Employee_Data[[#This Row],[HRA]],Employee_Data[[#This Row],[MA]],Employee_Data[[#This Row],[TA]])</f>
        <v>6939.7958333333336</v>
      </c>
      <c r="R748" s="4">
        <f>Employee_Data[[#This Row],[Basic Salary]]*12.5%</f>
        <v>719.89583333333337</v>
      </c>
      <c r="S748" s="2">
        <f>Employee_Data[[#This Row],[Annual Salary]]/12</f>
        <v>5759.166666666667</v>
      </c>
    </row>
    <row r="749" spans="1:19" x14ac:dyDescent="0.3">
      <c r="A749" t="s">
        <v>1575</v>
      </c>
      <c r="B749" t="s">
        <v>1576</v>
      </c>
      <c r="C749" t="s">
        <v>101</v>
      </c>
      <c r="D749" t="s">
        <v>4</v>
      </c>
      <c r="E749" t="s">
        <v>22</v>
      </c>
      <c r="F749" t="s">
        <v>42</v>
      </c>
      <c r="G749" t="s">
        <v>43</v>
      </c>
      <c r="H749">
        <v>38</v>
      </c>
      <c r="I749" s="1">
        <v>41329</v>
      </c>
      <c r="J749" s="2">
        <v>68676</v>
      </c>
      <c r="K749" s="3">
        <v>0</v>
      </c>
      <c r="L749" t="s">
        <v>137</v>
      </c>
      <c r="M749" t="s">
        <v>183</v>
      </c>
      <c r="N749" s="2">
        <f>Employee_Data[[#This Row],[Basic Salary]]*10%</f>
        <v>572.30000000000007</v>
      </c>
      <c r="O749" s="4">
        <f>Employee_Data[[#This Row],[Basic Salary]]*7.5%</f>
        <v>429.22499999999997</v>
      </c>
      <c r="P749" s="2">
        <f>Employee_Data[[#This Row],[Basic Salary]]*3%</f>
        <v>171.69</v>
      </c>
      <c r="Q749" s="2">
        <f>SUM(Employee_Data[[#This Row],[Basic Salary]],Employee_Data[[#This Row],[HRA]],Employee_Data[[#This Row],[MA]],Employee_Data[[#This Row],[TA]])</f>
        <v>6896.2150000000001</v>
      </c>
      <c r="R749" s="4">
        <f>Employee_Data[[#This Row],[Basic Salary]]*12.5%</f>
        <v>715.375</v>
      </c>
      <c r="S749" s="2">
        <f>Employee_Data[[#This Row],[Annual Salary]]/12</f>
        <v>5723</v>
      </c>
    </row>
    <row r="750" spans="1:19" x14ac:dyDescent="0.3">
      <c r="A750" t="s">
        <v>1577</v>
      </c>
      <c r="B750" t="s">
        <v>1578</v>
      </c>
      <c r="C750" t="s">
        <v>134</v>
      </c>
      <c r="D750" t="s">
        <v>21</v>
      </c>
      <c r="E750" t="s">
        <v>22</v>
      </c>
      <c r="F750" t="s">
        <v>42</v>
      </c>
      <c r="G750" t="s">
        <v>66</v>
      </c>
      <c r="H750">
        <v>58</v>
      </c>
      <c r="I750" s="1">
        <v>37613</v>
      </c>
      <c r="J750" s="2">
        <v>86094</v>
      </c>
      <c r="K750" s="3">
        <v>0</v>
      </c>
      <c r="L750" t="s">
        <v>25</v>
      </c>
      <c r="M750" t="s">
        <v>26</v>
      </c>
      <c r="N750" s="2">
        <f>Employee_Data[[#This Row],[Basic Salary]]*10%</f>
        <v>717.45</v>
      </c>
      <c r="O750" s="4">
        <f>Employee_Data[[#This Row],[Basic Salary]]*7.5%</f>
        <v>538.08749999999998</v>
      </c>
      <c r="P750" s="2">
        <f>Employee_Data[[#This Row],[Basic Salary]]*3%</f>
        <v>215.23499999999999</v>
      </c>
      <c r="Q750" s="2">
        <f>SUM(Employee_Data[[#This Row],[Basic Salary]],Employee_Data[[#This Row],[HRA]],Employee_Data[[#This Row],[MA]],Employee_Data[[#This Row],[TA]])</f>
        <v>8645.2725000000009</v>
      </c>
      <c r="R750" s="4">
        <f>Employee_Data[[#This Row],[Basic Salary]]*12.5%</f>
        <v>896.8125</v>
      </c>
      <c r="S750" s="2">
        <f>Employee_Data[[#This Row],[Annual Salary]]/12</f>
        <v>7174.5</v>
      </c>
    </row>
    <row r="751" spans="1:19" x14ac:dyDescent="0.3">
      <c r="A751" t="s">
        <v>1579</v>
      </c>
      <c r="B751" t="s">
        <v>1580</v>
      </c>
      <c r="C751" t="s">
        <v>173</v>
      </c>
      <c r="D751" t="s">
        <v>4</v>
      </c>
      <c r="E751" t="s">
        <v>56</v>
      </c>
      <c r="F751" t="s">
        <v>42</v>
      </c>
      <c r="G751" t="s">
        <v>66</v>
      </c>
      <c r="H751">
        <v>27</v>
      </c>
      <c r="I751" s="1">
        <v>44687</v>
      </c>
      <c r="J751" s="2">
        <v>77607</v>
      </c>
      <c r="K751" s="3">
        <v>0</v>
      </c>
      <c r="L751" t="s">
        <v>25</v>
      </c>
      <c r="M751" t="s">
        <v>70</v>
      </c>
      <c r="N751" s="2">
        <f>Employee_Data[[#This Row],[Basic Salary]]*10%</f>
        <v>646.72500000000002</v>
      </c>
      <c r="O751" s="4">
        <f>Employee_Data[[#This Row],[Basic Salary]]*7.5%</f>
        <v>485.04374999999999</v>
      </c>
      <c r="P751" s="2">
        <f>Employee_Data[[#This Row],[Basic Salary]]*3%</f>
        <v>194.01749999999998</v>
      </c>
      <c r="Q751" s="2">
        <f>SUM(Employee_Data[[#This Row],[Basic Salary]],Employee_Data[[#This Row],[HRA]],Employee_Data[[#This Row],[MA]],Employee_Data[[#This Row],[TA]])</f>
        <v>7793.0362500000001</v>
      </c>
      <c r="R751" s="4">
        <f>Employee_Data[[#This Row],[Basic Salary]]*12.5%</f>
        <v>808.40625</v>
      </c>
      <c r="S751" s="2">
        <f>Employee_Data[[#This Row],[Annual Salary]]/12</f>
        <v>6467.25</v>
      </c>
    </row>
    <row r="752" spans="1:19" x14ac:dyDescent="0.3">
      <c r="A752" t="s">
        <v>1581</v>
      </c>
      <c r="B752" t="s">
        <v>1582</v>
      </c>
      <c r="C752" t="s">
        <v>83</v>
      </c>
      <c r="D752" t="s">
        <v>126</v>
      </c>
      <c r="E752" t="s">
        <v>56</v>
      </c>
      <c r="F752" t="s">
        <v>23</v>
      </c>
      <c r="G752" t="s">
        <v>43</v>
      </c>
      <c r="H752">
        <v>61</v>
      </c>
      <c r="I752" s="1">
        <v>34089</v>
      </c>
      <c r="J752" s="2">
        <v>157672</v>
      </c>
      <c r="K752" s="3">
        <v>0.11</v>
      </c>
      <c r="L752" t="s">
        <v>25</v>
      </c>
      <c r="M752" t="s">
        <v>70</v>
      </c>
      <c r="N752" s="2">
        <f>Employee_Data[[#This Row],[Basic Salary]]*10%</f>
        <v>1313.9333333333334</v>
      </c>
      <c r="O752" s="4">
        <f>Employee_Data[[#This Row],[Basic Salary]]*7.5%</f>
        <v>985.45</v>
      </c>
      <c r="P752" s="2">
        <f>Employee_Data[[#This Row],[Basic Salary]]*3%</f>
        <v>394.18</v>
      </c>
      <c r="Q752" s="2">
        <f>SUM(Employee_Data[[#This Row],[Basic Salary]],Employee_Data[[#This Row],[HRA]],Employee_Data[[#This Row],[MA]],Employee_Data[[#This Row],[TA]])</f>
        <v>15832.896666666667</v>
      </c>
      <c r="R752" s="4">
        <f>Employee_Data[[#This Row],[Basic Salary]]*12.5%</f>
        <v>1642.4166666666667</v>
      </c>
      <c r="S752" s="2">
        <f>Employee_Data[[#This Row],[Annual Salary]]/12</f>
        <v>13139.333333333334</v>
      </c>
    </row>
    <row r="753" spans="1:19" x14ac:dyDescent="0.3">
      <c r="A753" t="s">
        <v>1583</v>
      </c>
      <c r="B753" t="s">
        <v>1584</v>
      </c>
      <c r="C753" t="s">
        <v>29</v>
      </c>
      <c r="D753" t="s">
        <v>61</v>
      </c>
      <c r="E753" t="s">
        <v>56</v>
      </c>
      <c r="F753" t="s">
        <v>23</v>
      </c>
      <c r="G753" t="s">
        <v>24</v>
      </c>
      <c r="H753">
        <v>64</v>
      </c>
      <c r="I753" s="1">
        <v>42703</v>
      </c>
      <c r="J753" s="2">
        <v>43785</v>
      </c>
      <c r="K753" s="3">
        <v>0</v>
      </c>
      <c r="L753" t="s">
        <v>37</v>
      </c>
      <c r="M753" t="s">
        <v>57</v>
      </c>
      <c r="N753" s="2">
        <f>Employee_Data[[#This Row],[Basic Salary]]*10%</f>
        <v>364.875</v>
      </c>
      <c r="O753" s="4">
        <f>Employee_Data[[#This Row],[Basic Salary]]*7.5%</f>
        <v>273.65625</v>
      </c>
      <c r="P753" s="2">
        <f>Employee_Data[[#This Row],[Basic Salary]]*3%</f>
        <v>109.46249999999999</v>
      </c>
      <c r="Q753" s="2">
        <f>SUM(Employee_Data[[#This Row],[Basic Salary]],Employee_Data[[#This Row],[HRA]],Employee_Data[[#This Row],[MA]],Employee_Data[[#This Row],[TA]])</f>
        <v>4396.7437499999996</v>
      </c>
      <c r="R753" s="4">
        <f>Employee_Data[[#This Row],[Basic Salary]]*12.5%</f>
        <v>456.09375</v>
      </c>
      <c r="S753" s="2">
        <f>Employee_Data[[#This Row],[Annual Salary]]/12</f>
        <v>3648.75</v>
      </c>
    </row>
    <row r="754" spans="1:19" x14ac:dyDescent="0.3">
      <c r="A754" t="s">
        <v>1585</v>
      </c>
      <c r="B754" t="s">
        <v>1586</v>
      </c>
      <c r="C754" t="s">
        <v>65</v>
      </c>
      <c r="D754" t="s">
        <v>4</v>
      </c>
      <c r="E754" t="s">
        <v>31</v>
      </c>
      <c r="F754" t="s">
        <v>23</v>
      </c>
      <c r="G754" t="s">
        <v>66</v>
      </c>
      <c r="H754">
        <v>65</v>
      </c>
      <c r="I754" s="1">
        <v>42170</v>
      </c>
      <c r="J754" s="2">
        <v>75439</v>
      </c>
      <c r="K754" s="3">
        <v>0</v>
      </c>
      <c r="L754" t="s">
        <v>25</v>
      </c>
      <c r="M754" t="s">
        <v>44</v>
      </c>
      <c r="N754" s="2">
        <f>Employee_Data[[#This Row],[Basic Salary]]*10%</f>
        <v>628.6583333333333</v>
      </c>
      <c r="O754" s="4">
        <f>Employee_Data[[#This Row],[Basic Salary]]*7.5%</f>
        <v>471.49374999999998</v>
      </c>
      <c r="P754" s="2">
        <f>Employee_Data[[#This Row],[Basic Salary]]*3%</f>
        <v>188.5975</v>
      </c>
      <c r="Q754" s="2">
        <f>SUM(Employee_Data[[#This Row],[Basic Salary]],Employee_Data[[#This Row],[HRA]],Employee_Data[[#This Row],[MA]],Employee_Data[[#This Row],[TA]])</f>
        <v>7575.3329166666663</v>
      </c>
      <c r="R754" s="4">
        <f>Employee_Data[[#This Row],[Basic Salary]]*12.5%</f>
        <v>785.82291666666663</v>
      </c>
      <c r="S754" s="2">
        <f>Employee_Data[[#This Row],[Annual Salary]]/12</f>
        <v>6286.583333333333</v>
      </c>
    </row>
    <row r="755" spans="1:19" x14ac:dyDescent="0.3">
      <c r="A755" t="s">
        <v>1587</v>
      </c>
      <c r="B755" t="s">
        <v>1588</v>
      </c>
      <c r="C755" t="s">
        <v>83</v>
      </c>
      <c r="D755" t="s">
        <v>4</v>
      </c>
      <c r="E755" t="s">
        <v>22</v>
      </c>
      <c r="F755" t="s">
        <v>42</v>
      </c>
      <c r="G755" t="s">
        <v>66</v>
      </c>
      <c r="H755">
        <v>37</v>
      </c>
      <c r="I755" s="1">
        <v>44518</v>
      </c>
      <c r="J755" s="2">
        <v>139987</v>
      </c>
      <c r="K755" s="3">
        <v>0.13</v>
      </c>
      <c r="L755" t="s">
        <v>25</v>
      </c>
      <c r="M755" t="s">
        <v>44</v>
      </c>
      <c r="N755" s="2">
        <f>Employee_Data[[#This Row],[Basic Salary]]*10%</f>
        <v>1166.5583333333334</v>
      </c>
      <c r="O755" s="4">
        <f>Employee_Data[[#This Row],[Basic Salary]]*7.5%</f>
        <v>874.91875000000005</v>
      </c>
      <c r="P755" s="2">
        <f>Employee_Data[[#This Row],[Basic Salary]]*3%</f>
        <v>349.96750000000003</v>
      </c>
      <c r="Q755" s="2">
        <f>SUM(Employee_Data[[#This Row],[Basic Salary]],Employee_Data[[#This Row],[HRA]],Employee_Data[[#This Row],[MA]],Employee_Data[[#This Row],[TA]])</f>
        <v>14057.027916666668</v>
      </c>
      <c r="R755" s="4">
        <f>Employee_Data[[#This Row],[Basic Salary]]*12.5%</f>
        <v>1458.1979166666667</v>
      </c>
      <c r="S755" s="2">
        <f>Employee_Data[[#This Row],[Annual Salary]]/12</f>
        <v>11665.583333333334</v>
      </c>
    </row>
    <row r="756" spans="1:19" x14ac:dyDescent="0.3">
      <c r="A756" t="s">
        <v>1589</v>
      </c>
      <c r="B756" t="s">
        <v>1590</v>
      </c>
      <c r="C756" t="s">
        <v>89</v>
      </c>
      <c r="D756" t="s">
        <v>55</v>
      </c>
      <c r="E756" t="s">
        <v>56</v>
      </c>
      <c r="F756" t="s">
        <v>23</v>
      </c>
      <c r="G756" t="s">
        <v>43</v>
      </c>
      <c r="H756">
        <v>54</v>
      </c>
      <c r="I756" s="1">
        <v>34581</v>
      </c>
      <c r="J756" s="2">
        <v>257489</v>
      </c>
      <c r="K756" s="3">
        <v>0.34</v>
      </c>
      <c r="L756" t="s">
        <v>137</v>
      </c>
      <c r="M756" t="s">
        <v>138</v>
      </c>
      <c r="N756" s="2">
        <f>Employee_Data[[#This Row],[Basic Salary]]*10%</f>
        <v>2145.7416666666668</v>
      </c>
      <c r="O756" s="4">
        <f>Employee_Data[[#This Row],[Basic Salary]]*7.5%</f>
        <v>1609.3062500000001</v>
      </c>
      <c r="P756" s="2">
        <f>Employee_Data[[#This Row],[Basic Salary]]*3%</f>
        <v>643.72249999999997</v>
      </c>
      <c r="Q756" s="2">
        <f>SUM(Employee_Data[[#This Row],[Basic Salary]],Employee_Data[[#This Row],[HRA]],Employee_Data[[#This Row],[MA]],Employee_Data[[#This Row],[TA]])</f>
        <v>25856.187083333334</v>
      </c>
      <c r="R756" s="4">
        <f>Employee_Data[[#This Row],[Basic Salary]]*12.5%</f>
        <v>2682.1770833333335</v>
      </c>
      <c r="S756" s="2">
        <f>Employee_Data[[#This Row],[Annual Salary]]/12</f>
        <v>21457.416666666668</v>
      </c>
    </row>
    <row r="757" spans="1:19" x14ac:dyDescent="0.3">
      <c r="A757" t="s">
        <v>1591</v>
      </c>
      <c r="B757" t="s">
        <v>1384</v>
      </c>
      <c r="C757" t="s">
        <v>65</v>
      </c>
      <c r="D757" t="s">
        <v>4</v>
      </c>
      <c r="E757" t="s">
        <v>56</v>
      </c>
      <c r="F757" t="s">
        <v>23</v>
      </c>
      <c r="G757" t="s">
        <v>24</v>
      </c>
      <c r="H757">
        <v>54</v>
      </c>
      <c r="I757" s="1">
        <v>39843</v>
      </c>
      <c r="J757" s="2">
        <v>91639</v>
      </c>
      <c r="K757" s="3">
        <v>0</v>
      </c>
      <c r="L757" t="s">
        <v>25</v>
      </c>
      <c r="M757" t="s">
        <v>44</v>
      </c>
      <c r="N757" s="2">
        <f>Employee_Data[[#This Row],[Basic Salary]]*10%</f>
        <v>763.6583333333333</v>
      </c>
      <c r="O757" s="4">
        <f>Employee_Data[[#This Row],[Basic Salary]]*7.5%</f>
        <v>572.74374999999998</v>
      </c>
      <c r="P757" s="2">
        <f>Employee_Data[[#This Row],[Basic Salary]]*3%</f>
        <v>229.0975</v>
      </c>
      <c r="Q757" s="2">
        <f>SUM(Employee_Data[[#This Row],[Basic Salary]],Employee_Data[[#This Row],[HRA]],Employee_Data[[#This Row],[MA]],Employee_Data[[#This Row],[TA]])</f>
        <v>9202.0829166666663</v>
      </c>
      <c r="R757" s="4">
        <f>Employee_Data[[#This Row],[Basic Salary]]*12.5%</f>
        <v>954.57291666666663</v>
      </c>
      <c r="S757" s="2">
        <f>Employee_Data[[#This Row],[Annual Salary]]/12</f>
        <v>7636.583333333333</v>
      </c>
    </row>
    <row r="758" spans="1:19" x14ac:dyDescent="0.3">
      <c r="A758" t="s">
        <v>1592</v>
      </c>
      <c r="B758" t="s">
        <v>1593</v>
      </c>
      <c r="C758" t="s">
        <v>60</v>
      </c>
      <c r="D758" t="s">
        <v>61</v>
      </c>
      <c r="E758" t="s">
        <v>56</v>
      </c>
      <c r="F758" t="s">
        <v>42</v>
      </c>
      <c r="G758" t="s">
        <v>24</v>
      </c>
      <c r="H758">
        <v>26</v>
      </c>
      <c r="I758" s="1">
        <v>44920</v>
      </c>
      <c r="J758" s="2">
        <v>66563</v>
      </c>
      <c r="K758" s="3">
        <v>0</v>
      </c>
      <c r="L758" t="s">
        <v>37</v>
      </c>
      <c r="M758" t="s">
        <v>62</v>
      </c>
      <c r="N758" s="2">
        <f>Employee_Data[[#This Row],[Basic Salary]]*10%</f>
        <v>554.69166666666672</v>
      </c>
      <c r="O758" s="4">
        <f>Employee_Data[[#This Row],[Basic Salary]]*7.5%</f>
        <v>416.01875000000001</v>
      </c>
      <c r="P758" s="2">
        <f>Employee_Data[[#This Row],[Basic Salary]]*3%</f>
        <v>166.4075</v>
      </c>
      <c r="Q758" s="2">
        <f>SUM(Employee_Data[[#This Row],[Basic Salary]],Employee_Data[[#This Row],[HRA]],Employee_Data[[#This Row],[MA]],Employee_Data[[#This Row],[TA]])</f>
        <v>6684.034583333334</v>
      </c>
      <c r="R758" s="4">
        <f>Employee_Data[[#This Row],[Basic Salary]]*12.5%</f>
        <v>693.36458333333337</v>
      </c>
      <c r="S758" s="2">
        <f>Employee_Data[[#This Row],[Annual Salary]]/12</f>
        <v>5546.916666666667</v>
      </c>
    </row>
    <row r="759" spans="1:19" x14ac:dyDescent="0.3">
      <c r="A759" t="s">
        <v>1594</v>
      </c>
      <c r="B759" t="s">
        <v>1595</v>
      </c>
      <c r="C759" t="s">
        <v>89</v>
      </c>
      <c r="D759" t="s">
        <v>80</v>
      </c>
      <c r="E759" t="s">
        <v>31</v>
      </c>
      <c r="F759" t="s">
        <v>42</v>
      </c>
      <c r="G759" t="s">
        <v>43</v>
      </c>
      <c r="H759">
        <v>29</v>
      </c>
      <c r="I759" s="1">
        <v>44237</v>
      </c>
      <c r="J759" s="2">
        <v>235047</v>
      </c>
      <c r="K759" s="3">
        <v>0.36</v>
      </c>
      <c r="L759" t="s">
        <v>25</v>
      </c>
      <c r="M759" t="s">
        <v>51</v>
      </c>
      <c r="N759" s="2">
        <f>Employee_Data[[#This Row],[Basic Salary]]*10%</f>
        <v>1958.7250000000001</v>
      </c>
      <c r="O759" s="4">
        <f>Employee_Data[[#This Row],[Basic Salary]]*7.5%</f>
        <v>1469.04375</v>
      </c>
      <c r="P759" s="2">
        <f>Employee_Data[[#This Row],[Basic Salary]]*3%</f>
        <v>587.61749999999995</v>
      </c>
      <c r="Q759" s="2">
        <f>SUM(Employee_Data[[#This Row],[Basic Salary]],Employee_Data[[#This Row],[HRA]],Employee_Data[[#This Row],[MA]],Employee_Data[[#This Row],[TA]])</f>
        <v>23602.63625</v>
      </c>
      <c r="R759" s="4">
        <f>Employee_Data[[#This Row],[Basic Salary]]*12.5%</f>
        <v>2448.40625</v>
      </c>
      <c r="S759" s="2">
        <f>Employee_Data[[#This Row],[Annual Salary]]/12</f>
        <v>19587.25</v>
      </c>
    </row>
    <row r="760" spans="1:19" x14ac:dyDescent="0.3">
      <c r="A760" t="s">
        <v>1596</v>
      </c>
      <c r="B760" t="s">
        <v>1597</v>
      </c>
      <c r="C760" t="s">
        <v>89</v>
      </c>
      <c r="D760" t="s">
        <v>126</v>
      </c>
      <c r="E760" t="s">
        <v>31</v>
      </c>
      <c r="F760" t="s">
        <v>23</v>
      </c>
      <c r="G760" t="s">
        <v>66</v>
      </c>
      <c r="H760">
        <v>37</v>
      </c>
      <c r="I760" s="1">
        <v>42045</v>
      </c>
      <c r="J760" s="2">
        <v>214782</v>
      </c>
      <c r="K760" s="3">
        <v>0.32</v>
      </c>
      <c r="L760" t="s">
        <v>25</v>
      </c>
      <c r="M760" t="s">
        <v>32</v>
      </c>
      <c r="N760" s="2">
        <f>Employee_Data[[#This Row],[Basic Salary]]*10%</f>
        <v>1789.8500000000001</v>
      </c>
      <c r="O760" s="4">
        <f>Employee_Data[[#This Row],[Basic Salary]]*7.5%</f>
        <v>1342.3875</v>
      </c>
      <c r="P760" s="2">
        <f>Employee_Data[[#This Row],[Basic Salary]]*3%</f>
        <v>536.95499999999993</v>
      </c>
      <c r="Q760" s="2">
        <f>SUM(Employee_Data[[#This Row],[Basic Salary]],Employee_Data[[#This Row],[HRA]],Employee_Data[[#This Row],[MA]],Employee_Data[[#This Row],[TA]])</f>
        <v>21567.692499999997</v>
      </c>
      <c r="R760" s="4">
        <f>Employee_Data[[#This Row],[Basic Salary]]*12.5%</f>
        <v>2237.3125</v>
      </c>
      <c r="S760" s="2">
        <f>Employee_Data[[#This Row],[Annual Salary]]/12</f>
        <v>17898.5</v>
      </c>
    </row>
    <row r="761" spans="1:19" x14ac:dyDescent="0.3">
      <c r="A761" t="s">
        <v>1598</v>
      </c>
      <c r="B761" t="s">
        <v>1599</v>
      </c>
      <c r="C761" t="s">
        <v>47</v>
      </c>
      <c r="D761" t="s">
        <v>55</v>
      </c>
      <c r="E761" t="s">
        <v>36</v>
      </c>
      <c r="F761" t="s">
        <v>42</v>
      </c>
      <c r="G761" t="s">
        <v>84</v>
      </c>
      <c r="H761">
        <v>37</v>
      </c>
      <c r="I761" s="1">
        <v>40664</v>
      </c>
      <c r="J761" s="2">
        <v>180544</v>
      </c>
      <c r="K761" s="3">
        <v>0.27</v>
      </c>
      <c r="L761" t="s">
        <v>25</v>
      </c>
      <c r="M761" t="s">
        <v>32</v>
      </c>
      <c r="N761" s="2">
        <f>Employee_Data[[#This Row],[Basic Salary]]*10%</f>
        <v>1504.5333333333335</v>
      </c>
      <c r="O761" s="4">
        <f>Employee_Data[[#This Row],[Basic Salary]]*7.5%</f>
        <v>1128.4000000000001</v>
      </c>
      <c r="P761" s="2">
        <f>Employee_Data[[#This Row],[Basic Salary]]*3%</f>
        <v>451.36</v>
      </c>
      <c r="Q761" s="2">
        <f>SUM(Employee_Data[[#This Row],[Basic Salary]],Employee_Data[[#This Row],[HRA]],Employee_Data[[#This Row],[MA]],Employee_Data[[#This Row],[TA]])</f>
        <v>18129.626666666671</v>
      </c>
      <c r="R761" s="4">
        <f>Employee_Data[[#This Row],[Basic Salary]]*12.5%</f>
        <v>1880.6666666666667</v>
      </c>
      <c r="S761" s="2">
        <f>Employee_Data[[#This Row],[Annual Salary]]/12</f>
        <v>15045.333333333334</v>
      </c>
    </row>
    <row r="762" spans="1:19" x14ac:dyDescent="0.3">
      <c r="A762" t="s">
        <v>1600</v>
      </c>
      <c r="B762" t="s">
        <v>1601</v>
      </c>
      <c r="C762" t="s">
        <v>83</v>
      </c>
      <c r="D762" t="s">
        <v>80</v>
      </c>
      <c r="E762" t="s">
        <v>36</v>
      </c>
      <c r="F762" t="s">
        <v>23</v>
      </c>
      <c r="G762" t="s">
        <v>43</v>
      </c>
      <c r="H762">
        <v>62</v>
      </c>
      <c r="I762" s="1">
        <v>36700</v>
      </c>
      <c r="J762" s="2">
        <v>158614</v>
      </c>
      <c r="K762" s="3">
        <v>0.14000000000000001</v>
      </c>
      <c r="L762" t="s">
        <v>137</v>
      </c>
      <c r="M762" t="s">
        <v>138</v>
      </c>
      <c r="N762" s="2">
        <f>Employee_Data[[#This Row],[Basic Salary]]*10%</f>
        <v>1321.7833333333335</v>
      </c>
      <c r="O762" s="4">
        <f>Employee_Data[[#This Row],[Basic Salary]]*7.5%</f>
        <v>991.33749999999998</v>
      </c>
      <c r="P762" s="2">
        <f>Employee_Data[[#This Row],[Basic Salary]]*3%</f>
        <v>396.53500000000003</v>
      </c>
      <c r="Q762" s="2">
        <f>SUM(Employee_Data[[#This Row],[Basic Salary]],Employee_Data[[#This Row],[HRA]],Employee_Data[[#This Row],[MA]],Employee_Data[[#This Row],[TA]])</f>
        <v>15927.489166666666</v>
      </c>
      <c r="R762" s="4">
        <f>Employee_Data[[#This Row],[Basic Salary]]*12.5%</f>
        <v>1652.2291666666667</v>
      </c>
      <c r="S762" s="2">
        <f>Employee_Data[[#This Row],[Annual Salary]]/12</f>
        <v>13217.833333333334</v>
      </c>
    </row>
    <row r="763" spans="1:19" x14ac:dyDescent="0.3">
      <c r="A763" t="s">
        <v>1602</v>
      </c>
      <c r="B763" t="s">
        <v>1603</v>
      </c>
      <c r="C763" t="s">
        <v>413</v>
      </c>
      <c r="D763" t="s">
        <v>21</v>
      </c>
      <c r="E763" t="s">
        <v>31</v>
      </c>
      <c r="F763" t="s">
        <v>23</v>
      </c>
      <c r="G763" t="s">
        <v>24</v>
      </c>
      <c r="H763">
        <v>53</v>
      </c>
      <c r="I763" s="1">
        <v>36129</v>
      </c>
      <c r="J763" s="2">
        <v>63187</v>
      </c>
      <c r="K763" s="3">
        <v>0</v>
      </c>
      <c r="L763" t="s">
        <v>25</v>
      </c>
      <c r="M763" t="s">
        <v>32</v>
      </c>
      <c r="N763" s="2">
        <f>Employee_Data[[#This Row],[Basic Salary]]*10%</f>
        <v>526.55833333333328</v>
      </c>
      <c r="O763" s="4">
        <f>Employee_Data[[#This Row],[Basic Salary]]*7.5%</f>
        <v>394.91874999999999</v>
      </c>
      <c r="P763" s="2">
        <f>Employee_Data[[#This Row],[Basic Salary]]*3%</f>
        <v>157.96749999999997</v>
      </c>
      <c r="Q763" s="2">
        <f>SUM(Employee_Data[[#This Row],[Basic Salary]],Employee_Data[[#This Row],[HRA]],Employee_Data[[#This Row],[MA]],Employee_Data[[#This Row],[TA]])</f>
        <v>6345.027916666666</v>
      </c>
      <c r="R763" s="4">
        <f>Employee_Data[[#This Row],[Basic Salary]]*12.5%</f>
        <v>658.19791666666663</v>
      </c>
      <c r="S763" s="2">
        <f>Employee_Data[[#This Row],[Annual Salary]]/12</f>
        <v>5265.583333333333</v>
      </c>
    </row>
    <row r="764" spans="1:19" x14ac:dyDescent="0.3">
      <c r="A764" t="s">
        <v>1604</v>
      </c>
      <c r="B764" t="s">
        <v>1605</v>
      </c>
      <c r="C764" t="s">
        <v>54</v>
      </c>
      <c r="D764" t="s">
        <v>80</v>
      </c>
      <c r="E764" t="s">
        <v>22</v>
      </c>
      <c r="F764" t="s">
        <v>23</v>
      </c>
      <c r="G764" t="s">
        <v>43</v>
      </c>
      <c r="H764">
        <v>65</v>
      </c>
      <c r="I764" s="1">
        <v>38329</v>
      </c>
      <c r="J764" s="2">
        <v>93857</v>
      </c>
      <c r="K764" s="3">
        <v>0</v>
      </c>
      <c r="L764" t="s">
        <v>25</v>
      </c>
      <c r="M764" t="s">
        <v>51</v>
      </c>
      <c r="N764" s="2">
        <f>Employee_Data[[#This Row],[Basic Salary]]*10%</f>
        <v>782.14166666666677</v>
      </c>
      <c r="O764" s="4">
        <f>Employee_Data[[#This Row],[Basic Salary]]*7.5%</f>
        <v>586.60625000000005</v>
      </c>
      <c r="P764" s="2">
        <f>Employee_Data[[#This Row],[Basic Salary]]*3%</f>
        <v>234.64250000000001</v>
      </c>
      <c r="Q764" s="2">
        <f>SUM(Employee_Data[[#This Row],[Basic Salary]],Employee_Data[[#This Row],[HRA]],Employee_Data[[#This Row],[MA]],Employee_Data[[#This Row],[TA]])</f>
        <v>9424.807083333335</v>
      </c>
      <c r="R764" s="4">
        <f>Employee_Data[[#This Row],[Basic Salary]]*12.5%</f>
        <v>977.67708333333337</v>
      </c>
      <c r="S764" s="2">
        <f>Employee_Data[[#This Row],[Annual Salary]]/12</f>
        <v>7821.416666666667</v>
      </c>
    </row>
    <row r="765" spans="1:19" x14ac:dyDescent="0.3">
      <c r="A765" t="s">
        <v>1606</v>
      </c>
      <c r="B765" t="s">
        <v>1607</v>
      </c>
      <c r="C765" t="s">
        <v>89</v>
      </c>
      <c r="D765" t="s">
        <v>4</v>
      </c>
      <c r="E765" t="s">
        <v>22</v>
      </c>
      <c r="F765" t="s">
        <v>23</v>
      </c>
      <c r="G765" t="s">
        <v>43</v>
      </c>
      <c r="H765">
        <v>36</v>
      </c>
      <c r="I765" s="1">
        <v>44266</v>
      </c>
      <c r="J765" s="2">
        <v>253741</v>
      </c>
      <c r="K765" s="3">
        <v>0.34</v>
      </c>
      <c r="L765" t="s">
        <v>137</v>
      </c>
      <c r="M765" t="s">
        <v>138</v>
      </c>
      <c r="N765" s="2">
        <f>Employee_Data[[#This Row],[Basic Salary]]*10%</f>
        <v>2114.5083333333332</v>
      </c>
      <c r="O765" s="4">
        <f>Employee_Data[[#This Row],[Basic Salary]]*7.5%</f>
        <v>1585.8812499999999</v>
      </c>
      <c r="P765" s="2">
        <f>Employee_Data[[#This Row],[Basic Salary]]*3%</f>
        <v>634.35249999999996</v>
      </c>
      <c r="Q765" s="2">
        <f>SUM(Employee_Data[[#This Row],[Basic Salary]],Employee_Data[[#This Row],[HRA]],Employee_Data[[#This Row],[MA]],Employee_Data[[#This Row],[TA]])</f>
        <v>25479.825416666667</v>
      </c>
      <c r="R765" s="4">
        <f>Employee_Data[[#This Row],[Basic Salary]]*12.5%</f>
        <v>2643.1354166666665</v>
      </c>
      <c r="S765" s="2">
        <f>Employee_Data[[#This Row],[Annual Salary]]/12</f>
        <v>21145.083333333332</v>
      </c>
    </row>
    <row r="766" spans="1:19" x14ac:dyDescent="0.3">
      <c r="A766" t="s">
        <v>1608</v>
      </c>
      <c r="B766" t="s">
        <v>1609</v>
      </c>
      <c r="C766" t="s">
        <v>54</v>
      </c>
      <c r="D766" t="s">
        <v>80</v>
      </c>
      <c r="E766" t="s">
        <v>56</v>
      </c>
      <c r="F766" t="s">
        <v>42</v>
      </c>
      <c r="G766" t="s">
        <v>43</v>
      </c>
      <c r="H766">
        <v>46</v>
      </c>
      <c r="I766" s="1">
        <v>40499</v>
      </c>
      <c r="J766" s="2">
        <v>92833</v>
      </c>
      <c r="K766" s="3">
        <v>0</v>
      </c>
      <c r="L766" t="s">
        <v>137</v>
      </c>
      <c r="M766" t="s">
        <v>138</v>
      </c>
      <c r="N766" s="2">
        <f>Employee_Data[[#This Row],[Basic Salary]]*10%</f>
        <v>773.60833333333335</v>
      </c>
      <c r="O766" s="4">
        <f>Employee_Data[[#This Row],[Basic Salary]]*7.5%</f>
        <v>580.20624999999995</v>
      </c>
      <c r="P766" s="2">
        <f>Employee_Data[[#This Row],[Basic Salary]]*3%</f>
        <v>232.08249999999998</v>
      </c>
      <c r="Q766" s="2">
        <f>SUM(Employee_Data[[#This Row],[Basic Salary]],Employee_Data[[#This Row],[HRA]],Employee_Data[[#This Row],[MA]],Employee_Data[[#This Row],[TA]])</f>
        <v>9321.9804166666654</v>
      </c>
      <c r="R766" s="4">
        <f>Employee_Data[[#This Row],[Basic Salary]]*12.5%</f>
        <v>967.01041666666663</v>
      </c>
      <c r="S766" s="2">
        <f>Employee_Data[[#This Row],[Annual Salary]]/12</f>
        <v>7736.083333333333</v>
      </c>
    </row>
    <row r="767" spans="1:19" x14ac:dyDescent="0.3">
      <c r="A767" t="s">
        <v>1610</v>
      </c>
      <c r="B767" t="s">
        <v>1611</v>
      </c>
      <c r="C767" t="s">
        <v>94</v>
      </c>
      <c r="D767" t="s">
        <v>4</v>
      </c>
      <c r="E767" t="s">
        <v>56</v>
      </c>
      <c r="F767" t="s">
        <v>42</v>
      </c>
      <c r="G767" t="s">
        <v>43</v>
      </c>
      <c r="H767">
        <v>55</v>
      </c>
      <c r="I767" s="1">
        <v>43449</v>
      </c>
      <c r="J767" s="2">
        <v>95400</v>
      </c>
      <c r="K767" s="3">
        <v>0</v>
      </c>
      <c r="L767" t="s">
        <v>137</v>
      </c>
      <c r="M767" t="s">
        <v>289</v>
      </c>
      <c r="N767" s="2">
        <f>Employee_Data[[#This Row],[Basic Salary]]*10%</f>
        <v>795</v>
      </c>
      <c r="O767" s="4">
        <f>Employee_Data[[#This Row],[Basic Salary]]*7.5%</f>
        <v>596.25</v>
      </c>
      <c r="P767" s="2">
        <f>Employee_Data[[#This Row],[Basic Salary]]*3%</f>
        <v>238.5</v>
      </c>
      <c r="Q767" s="2">
        <f>SUM(Employee_Data[[#This Row],[Basic Salary]],Employee_Data[[#This Row],[HRA]],Employee_Data[[#This Row],[MA]],Employee_Data[[#This Row],[TA]])</f>
        <v>9579.75</v>
      </c>
      <c r="R767" s="4">
        <f>Employee_Data[[#This Row],[Basic Salary]]*12.5%</f>
        <v>993.75</v>
      </c>
      <c r="S767" s="2">
        <f>Employee_Data[[#This Row],[Annual Salary]]/12</f>
        <v>7950</v>
      </c>
    </row>
    <row r="768" spans="1:19" x14ac:dyDescent="0.3">
      <c r="A768" t="s">
        <v>1612</v>
      </c>
      <c r="B768" t="s">
        <v>1613</v>
      </c>
      <c r="C768" t="s">
        <v>413</v>
      </c>
      <c r="D768" t="s">
        <v>21</v>
      </c>
      <c r="E768" t="s">
        <v>56</v>
      </c>
      <c r="F768" t="s">
        <v>42</v>
      </c>
      <c r="G768" t="s">
        <v>84</v>
      </c>
      <c r="H768">
        <v>63</v>
      </c>
      <c r="I768" s="1">
        <v>41551</v>
      </c>
      <c r="J768" s="2">
        <v>88230</v>
      </c>
      <c r="K768" s="3">
        <v>0</v>
      </c>
      <c r="L768" t="s">
        <v>25</v>
      </c>
      <c r="M768" t="s">
        <v>70</v>
      </c>
      <c r="N768" s="2">
        <f>Employee_Data[[#This Row],[Basic Salary]]*10%</f>
        <v>735.25</v>
      </c>
      <c r="O768" s="4">
        <f>Employee_Data[[#This Row],[Basic Salary]]*7.5%</f>
        <v>551.4375</v>
      </c>
      <c r="P768" s="2">
        <f>Employee_Data[[#This Row],[Basic Salary]]*3%</f>
        <v>220.57499999999999</v>
      </c>
      <c r="Q768" s="2">
        <f>SUM(Employee_Data[[#This Row],[Basic Salary]],Employee_Data[[#This Row],[HRA]],Employee_Data[[#This Row],[MA]],Employee_Data[[#This Row],[TA]])</f>
        <v>8859.7625000000007</v>
      </c>
      <c r="R768" s="4">
        <f>Employee_Data[[#This Row],[Basic Salary]]*12.5%</f>
        <v>919.0625</v>
      </c>
      <c r="S768" s="2">
        <f>Employee_Data[[#This Row],[Annual Salary]]/12</f>
        <v>7352.5</v>
      </c>
    </row>
    <row r="769" spans="1:19" x14ac:dyDescent="0.3">
      <c r="A769" t="s">
        <v>1614</v>
      </c>
      <c r="B769" t="s">
        <v>1615</v>
      </c>
      <c r="C769" t="s">
        <v>292</v>
      </c>
      <c r="D769" t="s">
        <v>21</v>
      </c>
      <c r="E769" t="s">
        <v>36</v>
      </c>
      <c r="F769" t="s">
        <v>42</v>
      </c>
      <c r="G769" t="s">
        <v>24</v>
      </c>
      <c r="H769">
        <v>54</v>
      </c>
      <c r="I769" s="1">
        <v>37677</v>
      </c>
      <c r="J769" s="2">
        <v>62179</v>
      </c>
      <c r="K769" s="3">
        <v>0</v>
      </c>
      <c r="L769" t="s">
        <v>37</v>
      </c>
      <c r="M769" t="s">
        <v>38</v>
      </c>
      <c r="N769" s="2">
        <f>Employee_Data[[#This Row],[Basic Salary]]*10%</f>
        <v>518.1583333333333</v>
      </c>
      <c r="O769" s="4">
        <f>Employee_Data[[#This Row],[Basic Salary]]*7.5%</f>
        <v>388.61874999999998</v>
      </c>
      <c r="P769" s="2">
        <f>Employee_Data[[#This Row],[Basic Salary]]*3%</f>
        <v>155.44749999999999</v>
      </c>
      <c r="Q769" s="2">
        <f>SUM(Employee_Data[[#This Row],[Basic Salary]],Employee_Data[[#This Row],[HRA]],Employee_Data[[#This Row],[MA]],Employee_Data[[#This Row],[TA]])</f>
        <v>6243.8079166666666</v>
      </c>
      <c r="R769" s="4">
        <f>Employee_Data[[#This Row],[Basic Salary]]*12.5%</f>
        <v>647.69791666666663</v>
      </c>
      <c r="S769" s="2">
        <f>Employee_Data[[#This Row],[Annual Salary]]/12</f>
        <v>5181.583333333333</v>
      </c>
    </row>
    <row r="770" spans="1:19" x14ac:dyDescent="0.3">
      <c r="A770" t="s">
        <v>1616</v>
      </c>
      <c r="B770" t="s">
        <v>1617</v>
      </c>
      <c r="C770" t="s">
        <v>159</v>
      </c>
      <c r="D770" t="s">
        <v>4</v>
      </c>
      <c r="E770" t="s">
        <v>36</v>
      </c>
      <c r="F770" t="s">
        <v>42</v>
      </c>
      <c r="G770" t="s">
        <v>66</v>
      </c>
      <c r="H770">
        <v>26</v>
      </c>
      <c r="I770" s="1">
        <v>43879</v>
      </c>
      <c r="J770" s="2">
        <v>42343</v>
      </c>
      <c r="K770" s="3">
        <v>0</v>
      </c>
      <c r="L770" t="s">
        <v>25</v>
      </c>
      <c r="M770" t="s">
        <v>70</v>
      </c>
      <c r="N770" s="2">
        <f>Employee_Data[[#This Row],[Basic Salary]]*10%</f>
        <v>352.85833333333335</v>
      </c>
      <c r="O770" s="4">
        <f>Employee_Data[[#This Row],[Basic Salary]]*7.5%</f>
        <v>264.64375000000001</v>
      </c>
      <c r="P770" s="2">
        <f>Employee_Data[[#This Row],[Basic Salary]]*3%</f>
        <v>105.8575</v>
      </c>
      <c r="Q770" s="2">
        <f>SUM(Employee_Data[[#This Row],[Basic Salary]],Employee_Data[[#This Row],[HRA]],Employee_Data[[#This Row],[MA]],Employee_Data[[#This Row],[TA]])</f>
        <v>4251.9429166666669</v>
      </c>
      <c r="R770" s="4">
        <f>Employee_Data[[#This Row],[Basic Salary]]*12.5%</f>
        <v>441.07291666666669</v>
      </c>
      <c r="S770" s="2">
        <f>Employee_Data[[#This Row],[Annual Salary]]/12</f>
        <v>3528.5833333333335</v>
      </c>
    </row>
    <row r="771" spans="1:19" x14ac:dyDescent="0.3">
      <c r="A771" t="s">
        <v>1618</v>
      </c>
      <c r="B771" t="s">
        <v>1619</v>
      </c>
      <c r="C771" t="s">
        <v>54</v>
      </c>
      <c r="D771" t="s">
        <v>55</v>
      </c>
      <c r="E771" t="s">
        <v>31</v>
      </c>
      <c r="F771" t="s">
        <v>23</v>
      </c>
      <c r="G771" t="s">
        <v>66</v>
      </c>
      <c r="H771">
        <v>26</v>
      </c>
      <c r="I771" s="1">
        <v>44688</v>
      </c>
      <c r="J771" s="2">
        <v>70275</v>
      </c>
      <c r="K771" s="3">
        <v>0</v>
      </c>
      <c r="L771" t="s">
        <v>25</v>
      </c>
      <c r="M771" t="s">
        <v>26</v>
      </c>
      <c r="N771" s="2">
        <f>Employee_Data[[#This Row],[Basic Salary]]*10%</f>
        <v>585.625</v>
      </c>
      <c r="O771" s="4">
        <f>Employee_Data[[#This Row],[Basic Salary]]*7.5%</f>
        <v>439.21875</v>
      </c>
      <c r="P771" s="2">
        <f>Employee_Data[[#This Row],[Basic Salary]]*3%</f>
        <v>175.6875</v>
      </c>
      <c r="Q771" s="2">
        <f>SUM(Employee_Data[[#This Row],[Basic Salary]],Employee_Data[[#This Row],[HRA]],Employee_Data[[#This Row],[MA]],Employee_Data[[#This Row],[TA]])</f>
        <v>7056.78125</v>
      </c>
      <c r="R771" s="4">
        <f>Employee_Data[[#This Row],[Basic Salary]]*12.5%</f>
        <v>732.03125</v>
      </c>
      <c r="S771" s="2">
        <f>Employee_Data[[#This Row],[Annual Salary]]/12</f>
        <v>5856.25</v>
      </c>
    </row>
    <row r="772" spans="1:19" x14ac:dyDescent="0.3">
      <c r="A772" t="s">
        <v>1620</v>
      </c>
      <c r="B772" t="s">
        <v>1621</v>
      </c>
      <c r="C772" t="s">
        <v>60</v>
      </c>
      <c r="D772" t="s">
        <v>30</v>
      </c>
      <c r="E772" t="s">
        <v>31</v>
      </c>
      <c r="F772" t="s">
        <v>42</v>
      </c>
      <c r="G772" t="s">
        <v>43</v>
      </c>
      <c r="H772">
        <v>34</v>
      </c>
      <c r="I772" s="1">
        <v>41007</v>
      </c>
      <c r="J772" s="2">
        <v>51448</v>
      </c>
      <c r="K772" s="3">
        <v>0</v>
      </c>
      <c r="L772" t="s">
        <v>137</v>
      </c>
      <c r="M772" t="s">
        <v>289</v>
      </c>
      <c r="N772" s="2">
        <f>Employee_Data[[#This Row],[Basic Salary]]*10%</f>
        <v>428.73333333333335</v>
      </c>
      <c r="O772" s="4">
        <f>Employee_Data[[#This Row],[Basic Salary]]*7.5%</f>
        <v>321.54999999999995</v>
      </c>
      <c r="P772" s="2">
        <f>Employee_Data[[#This Row],[Basic Salary]]*3%</f>
        <v>128.61999999999998</v>
      </c>
      <c r="Q772" s="2">
        <f>SUM(Employee_Data[[#This Row],[Basic Salary]],Employee_Data[[#This Row],[HRA]],Employee_Data[[#This Row],[MA]],Employee_Data[[#This Row],[TA]])</f>
        <v>5166.2366666666667</v>
      </c>
      <c r="R772" s="4">
        <f>Employee_Data[[#This Row],[Basic Salary]]*12.5%</f>
        <v>535.91666666666663</v>
      </c>
      <c r="S772" s="2">
        <f>Employee_Data[[#This Row],[Annual Salary]]/12</f>
        <v>4287.333333333333</v>
      </c>
    </row>
    <row r="773" spans="1:19" x14ac:dyDescent="0.3">
      <c r="A773" t="s">
        <v>1622</v>
      </c>
      <c r="B773" t="s">
        <v>1623</v>
      </c>
      <c r="C773" t="s">
        <v>89</v>
      </c>
      <c r="D773" t="s">
        <v>21</v>
      </c>
      <c r="E773" t="s">
        <v>22</v>
      </c>
      <c r="F773" t="s">
        <v>42</v>
      </c>
      <c r="G773" t="s">
        <v>24</v>
      </c>
      <c r="H773">
        <v>48</v>
      </c>
      <c r="I773" s="1">
        <v>39912</v>
      </c>
      <c r="J773" s="2">
        <v>185363</v>
      </c>
      <c r="K773" s="3">
        <v>0.33</v>
      </c>
      <c r="L773" t="s">
        <v>37</v>
      </c>
      <c r="M773" t="s">
        <v>38</v>
      </c>
      <c r="N773" s="2">
        <f>Employee_Data[[#This Row],[Basic Salary]]*10%</f>
        <v>1544.6916666666666</v>
      </c>
      <c r="O773" s="4">
        <f>Employee_Data[[#This Row],[Basic Salary]]*7.5%</f>
        <v>1158.51875</v>
      </c>
      <c r="P773" s="2">
        <f>Employee_Data[[#This Row],[Basic Salary]]*3%</f>
        <v>463.40749999999997</v>
      </c>
      <c r="Q773" s="2">
        <f>SUM(Employee_Data[[#This Row],[Basic Salary]],Employee_Data[[#This Row],[HRA]],Employee_Data[[#This Row],[MA]],Employee_Data[[#This Row],[TA]])</f>
        <v>18613.534583333334</v>
      </c>
      <c r="R773" s="4">
        <f>Employee_Data[[#This Row],[Basic Salary]]*12.5%</f>
        <v>1930.8645833333333</v>
      </c>
      <c r="S773" s="2">
        <f>Employee_Data[[#This Row],[Annual Salary]]/12</f>
        <v>15446.916666666666</v>
      </c>
    </row>
    <row r="774" spans="1:19" x14ac:dyDescent="0.3">
      <c r="A774" t="s">
        <v>1624</v>
      </c>
      <c r="B774" t="s">
        <v>1625</v>
      </c>
      <c r="C774" t="s">
        <v>173</v>
      </c>
      <c r="D774" t="s">
        <v>4</v>
      </c>
      <c r="E774" t="s">
        <v>22</v>
      </c>
      <c r="F774" t="s">
        <v>23</v>
      </c>
      <c r="G774" t="s">
        <v>66</v>
      </c>
      <c r="H774">
        <v>52</v>
      </c>
      <c r="I774" s="1">
        <v>43363</v>
      </c>
      <c r="J774" s="2">
        <v>60784</v>
      </c>
      <c r="K774" s="3">
        <v>0</v>
      </c>
      <c r="L774" t="s">
        <v>25</v>
      </c>
      <c r="M774" t="s">
        <v>48</v>
      </c>
      <c r="N774" s="2">
        <f>Employee_Data[[#This Row],[Basic Salary]]*10%</f>
        <v>506.5333333333333</v>
      </c>
      <c r="O774" s="4">
        <f>Employee_Data[[#This Row],[Basic Salary]]*7.5%</f>
        <v>379.9</v>
      </c>
      <c r="P774" s="2">
        <f>Employee_Data[[#This Row],[Basic Salary]]*3%</f>
        <v>151.95999999999998</v>
      </c>
      <c r="Q774" s="2">
        <f>SUM(Employee_Data[[#This Row],[Basic Salary]],Employee_Data[[#This Row],[HRA]],Employee_Data[[#This Row],[MA]],Employee_Data[[#This Row],[TA]])</f>
        <v>6103.7266666666665</v>
      </c>
      <c r="R774" s="4">
        <f>Employee_Data[[#This Row],[Basic Salary]]*12.5%</f>
        <v>633.16666666666663</v>
      </c>
      <c r="S774" s="2">
        <f>Employee_Data[[#This Row],[Annual Salary]]/12</f>
        <v>5065.333333333333</v>
      </c>
    </row>
    <row r="775" spans="1:19" x14ac:dyDescent="0.3">
      <c r="A775" t="s">
        <v>1626</v>
      </c>
      <c r="B775" t="s">
        <v>1627</v>
      </c>
      <c r="C775" t="s">
        <v>29</v>
      </c>
      <c r="D775" t="s">
        <v>55</v>
      </c>
      <c r="E775" t="s">
        <v>56</v>
      </c>
      <c r="F775" t="s">
        <v>42</v>
      </c>
      <c r="G775" t="s">
        <v>43</v>
      </c>
      <c r="H775">
        <v>45</v>
      </c>
      <c r="I775" s="1">
        <v>38084</v>
      </c>
      <c r="J775" s="2">
        <v>45323</v>
      </c>
      <c r="K775" s="3">
        <v>0</v>
      </c>
      <c r="L775" t="s">
        <v>137</v>
      </c>
      <c r="M775" t="s">
        <v>138</v>
      </c>
      <c r="N775" s="2">
        <f>Employee_Data[[#This Row],[Basic Salary]]*10%</f>
        <v>377.69166666666666</v>
      </c>
      <c r="O775" s="4">
        <f>Employee_Data[[#This Row],[Basic Salary]]*7.5%</f>
        <v>283.26874999999995</v>
      </c>
      <c r="P775" s="2">
        <f>Employee_Data[[#This Row],[Basic Salary]]*3%</f>
        <v>113.30749999999999</v>
      </c>
      <c r="Q775" s="2">
        <f>SUM(Employee_Data[[#This Row],[Basic Salary]],Employee_Data[[#This Row],[HRA]],Employee_Data[[#This Row],[MA]],Employee_Data[[#This Row],[TA]])</f>
        <v>4551.1845833333336</v>
      </c>
      <c r="R775" s="4">
        <f>Employee_Data[[#This Row],[Basic Salary]]*12.5%</f>
        <v>472.11458333333331</v>
      </c>
      <c r="S775" s="2">
        <f>Employee_Data[[#This Row],[Annual Salary]]/12</f>
        <v>3776.9166666666665</v>
      </c>
    </row>
    <row r="776" spans="1:19" x14ac:dyDescent="0.3">
      <c r="A776" t="s">
        <v>1628</v>
      </c>
      <c r="B776" t="s">
        <v>296</v>
      </c>
      <c r="C776" t="s">
        <v>69</v>
      </c>
      <c r="D776" t="s">
        <v>61</v>
      </c>
      <c r="E776" t="s">
        <v>56</v>
      </c>
      <c r="F776" t="s">
        <v>42</v>
      </c>
      <c r="G776" t="s">
        <v>43</v>
      </c>
      <c r="H776">
        <v>51</v>
      </c>
      <c r="I776" s="1">
        <v>41162</v>
      </c>
      <c r="J776" s="2">
        <v>129727</v>
      </c>
      <c r="K776" s="3">
        <v>0.08</v>
      </c>
      <c r="L776" t="s">
        <v>25</v>
      </c>
      <c r="M776" t="s">
        <v>51</v>
      </c>
      <c r="N776" s="2">
        <f>Employee_Data[[#This Row],[Basic Salary]]*10%</f>
        <v>1081.0583333333334</v>
      </c>
      <c r="O776" s="4">
        <f>Employee_Data[[#This Row],[Basic Salary]]*7.5%</f>
        <v>810.79375000000005</v>
      </c>
      <c r="P776" s="2">
        <f>Employee_Data[[#This Row],[Basic Salary]]*3%</f>
        <v>324.3175</v>
      </c>
      <c r="Q776" s="2">
        <f>SUM(Employee_Data[[#This Row],[Basic Salary]],Employee_Data[[#This Row],[HRA]],Employee_Data[[#This Row],[MA]],Employee_Data[[#This Row],[TA]])</f>
        <v>13026.752916666666</v>
      </c>
      <c r="R776" s="4">
        <f>Employee_Data[[#This Row],[Basic Salary]]*12.5%</f>
        <v>1351.3229166666667</v>
      </c>
      <c r="S776" s="2">
        <f>Employee_Data[[#This Row],[Annual Salary]]/12</f>
        <v>10810.583333333334</v>
      </c>
    </row>
    <row r="777" spans="1:19" x14ac:dyDescent="0.3">
      <c r="A777" t="s">
        <v>1629</v>
      </c>
      <c r="B777" t="s">
        <v>1630</v>
      </c>
      <c r="C777" t="s">
        <v>104</v>
      </c>
      <c r="D777" t="s">
        <v>30</v>
      </c>
      <c r="E777" t="s">
        <v>56</v>
      </c>
      <c r="F777" t="s">
        <v>42</v>
      </c>
      <c r="G777" t="s">
        <v>24</v>
      </c>
      <c r="H777">
        <v>43</v>
      </c>
      <c r="I777" s="1">
        <v>38990</v>
      </c>
      <c r="J777" s="2">
        <v>63229</v>
      </c>
      <c r="K777" s="3">
        <v>0</v>
      </c>
      <c r="L777" t="s">
        <v>25</v>
      </c>
      <c r="M777" t="s">
        <v>70</v>
      </c>
      <c r="N777" s="2">
        <f>Employee_Data[[#This Row],[Basic Salary]]*10%</f>
        <v>526.9083333333333</v>
      </c>
      <c r="O777" s="4">
        <f>Employee_Data[[#This Row],[Basic Salary]]*7.5%</f>
        <v>395.18124999999998</v>
      </c>
      <c r="P777" s="2">
        <f>Employee_Data[[#This Row],[Basic Salary]]*3%</f>
        <v>158.07249999999999</v>
      </c>
      <c r="Q777" s="2">
        <f>SUM(Employee_Data[[#This Row],[Basic Salary]],Employee_Data[[#This Row],[HRA]],Employee_Data[[#This Row],[MA]],Employee_Data[[#This Row],[TA]])</f>
        <v>6349.2454166666666</v>
      </c>
      <c r="R777" s="4">
        <f>Employee_Data[[#This Row],[Basic Salary]]*12.5%</f>
        <v>658.63541666666663</v>
      </c>
      <c r="S777" s="2">
        <f>Employee_Data[[#This Row],[Annual Salary]]/12</f>
        <v>5269.083333333333</v>
      </c>
    </row>
    <row r="778" spans="1:19" x14ac:dyDescent="0.3">
      <c r="A778" t="s">
        <v>1631</v>
      </c>
      <c r="B778" t="s">
        <v>1632</v>
      </c>
      <c r="C778" t="s">
        <v>47</v>
      </c>
      <c r="D778" t="s">
        <v>55</v>
      </c>
      <c r="E778" t="s">
        <v>31</v>
      </c>
      <c r="F778" t="s">
        <v>23</v>
      </c>
      <c r="G778" t="s">
        <v>66</v>
      </c>
      <c r="H778">
        <v>54</v>
      </c>
      <c r="I778" s="1">
        <v>38029</v>
      </c>
      <c r="J778" s="2">
        <v>194221</v>
      </c>
      <c r="K778" s="3">
        <v>0.16</v>
      </c>
      <c r="L778" t="s">
        <v>25</v>
      </c>
      <c r="M778" t="s">
        <v>48</v>
      </c>
      <c r="N778" s="2">
        <f>Employee_Data[[#This Row],[Basic Salary]]*10%</f>
        <v>1618.5083333333334</v>
      </c>
      <c r="O778" s="4">
        <f>Employee_Data[[#This Row],[Basic Salary]]*7.5%</f>
        <v>1213.8812499999999</v>
      </c>
      <c r="P778" s="2">
        <f>Employee_Data[[#This Row],[Basic Salary]]*3%</f>
        <v>485.55250000000001</v>
      </c>
      <c r="Q778" s="2">
        <f>SUM(Employee_Data[[#This Row],[Basic Salary]],Employee_Data[[#This Row],[HRA]],Employee_Data[[#This Row],[MA]],Employee_Data[[#This Row],[TA]])</f>
        <v>19503.025416666667</v>
      </c>
      <c r="R778" s="4">
        <f>Employee_Data[[#This Row],[Basic Salary]]*12.5%</f>
        <v>2023.1354166666667</v>
      </c>
      <c r="S778" s="2">
        <f>Employee_Data[[#This Row],[Annual Salary]]/12</f>
        <v>16185.083333333334</v>
      </c>
    </row>
    <row r="779" spans="1:19" x14ac:dyDescent="0.3">
      <c r="A779" t="s">
        <v>1633</v>
      </c>
      <c r="B779" t="s">
        <v>1634</v>
      </c>
      <c r="C779" t="s">
        <v>54</v>
      </c>
      <c r="D779" t="s">
        <v>30</v>
      </c>
      <c r="E779" t="s">
        <v>36</v>
      </c>
      <c r="F779" t="s">
        <v>42</v>
      </c>
      <c r="G779" t="s">
        <v>66</v>
      </c>
      <c r="H779">
        <v>54</v>
      </c>
      <c r="I779" s="1">
        <v>43446</v>
      </c>
      <c r="J779" s="2">
        <v>78020</v>
      </c>
      <c r="K779" s="3">
        <v>0</v>
      </c>
      <c r="L779" t="s">
        <v>25</v>
      </c>
      <c r="M779" t="s">
        <v>26</v>
      </c>
      <c r="N779" s="2">
        <f>Employee_Data[[#This Row],[Basic Salary]]*10%</f>
        <v>650.16666666666674</v>
      </c>
      <c r="O779" s="4">
        <f>Employee_Data[[#This Row],[Basic Salary]]*7.5%</f>
        <v>487.625</v>
      </c>
      <c r="P779" s="2">
        <f>Employee_Data[[#This Row],[Basic Salary]]*3%</f>
        <v>195.05</v>
      </c>
      <c r="Q779" s="2">
        <f>SUM(Employee_Data[[#This Row],[Basic Salary]],Employee_Data[[#This Row],[HRA]],Employee_Data[[#This Row],[MA]],Employee_Data[[#This Row],[TA]])</f>
        <v>7834.5083333333341</v>
      </c>
      <c r="R779" s="4">
        <f>Employee_Data[[#This Row],[Basic Salary]]*12.5%</f>
        <v>812.70833333333337</v>
      </c>
      <c r="S779" s="2">
        <f>Employee_Data[[#This Row],[Annual Salary]]/12</f>
        <v>6501.666666666667</v>
      </c>
    </row>
    <row r="780" spans="1:19" x14ac:dyDescent="0.3">
      <c r="A780" t="s">
        <v>1635</v>
      </c>
      <c r="B780" t="s">
        <v>1636</v>
      </c>
      <c r="C780" t="s">
        <v>89</v>
      </c>
      <c r="D780" t="s">
        <v>55</v>
      </c>
      <c r="E780" t="s">
        <v>56</v>
      </c>
      <c r="F780" t="s">
        <v>23</v>
      </c>
      <c r="G780" t="s">
        <v>66</v>
      </c>
      <c r="H780">
        <v>25</v>
      </c>
      <c r="I780" s="1">
        <v>44841</v>
      </c>
      <c r="J780" s="2">
        <v>197331</v>
      </c>
      <c r="K780" s="3">
        <v>0.33</v>
      </c>
      <c r="L780" t="s">
        <v>25</v>
      </c>
      <c r="M780" t="s">
        <v>44</v>
      </c>
      <c r="N780" s="2">
        <f>Employee_Data[[#This Row],[Basic Salary]]*10%</f>
        <v>1644.4250000000002</v>
      </c>
      <c r="O780" s="4">
        <f>Employee_Data[[#This Row],[Basic Salary]]*7.5%</f>
        <v>1233.3187499999999</v>
      </c>
      <c r="P780" s="2">
        <f>Employee_Data[[#This Row],[Basic Salary]]*3%</f>
        <v>493.32749999999999</v>
      </c>
      <c r="Q780" s="2">
        <f>SUM(Employee_Data[[#This Row],[Basic Salary]],Employee_Data[[#This Row],[HRA]],Employee_Data[[#This Row],[MA]],Employee_Data[[#This Row],[TA]])</f>
        <v>19815.321249999997</v>
      </c>
      <c r="R780" s="4">
        <f>Employee_Data[[#This Row],[Basic Salary]]*12.5%</f>
        <v>2055.53125</v>
      </c>
      <c r="S780" s="2">
        <f>Employee_Data[[#This Row],[Annual Salary]]/12</f>
        <v>16444.25</v>
      </c>
    </row>
    <row r="781" spans="1:19" x14ac:dyDescent="0.3">
      <c r="A781" t="s">
        <v>1637</v>
      </c>
      <c r="B781" t="s">
        <v>1638</v>
      </c>
      <c r="C781" t="s">
        <v>60</v>
      </c>
      <c r="D781" t="s">
        <v>55</v>
      </c>
      <c r="E781" t="s">
        <v>22</v>
      </c>
      <c r="F781" t="s">
        <v>23</v>
      </c>
      <c r="G781" t="s">
        <v>43</v>
      </c>
      <c r="H781">
        <v>65</v>
      </c>
      <c r="I781" s="1">
        <v>35842</v>
      </c>
      <c r="J781" s="2">
        <v>63346</v>
      </c>
      <c r="K781" s="3">
        <v>0</v>
      </c>
      <c r="L781" t="s">
        <v>137</v>
      </c>
      <c r="M781" t="s">
        <v>138</v>
      </c>
      <c r="N781" s="2">
        <f>Employee_Data[[#This Row],[Basic Salary]]*10%</f>
        <v>527.88333333333333</v>
      </c>
      <c r="O781" s="4">
        <f>Employee_Data[[#This Row],[Basic Salary]]*7.5%</f>
        <v>395.91249999999997</v>
      </c>
      <c r="P781" s="2">
        <f>Employee_Data[[#This Row],[Basic Salary]]*3%</f>
        <v>158.36499999999998</v>
      </c>
      <c r="Q781" s="2">
        <f>SUM(Employee_Data[[#This Row],[Basic Salary]],Employee_Data[[#This Row],[HRA]],Employee_Data[[#This Row],[MA]],Employee_Data[[#This Row],[TA]])</f>
        <v>6360.9941666666664</v>
      </c>
      <c r="R781" s="4">
        <f>Employee_Data[[#This Row],[Basic Salary]]*12.5%</f>
        <v>659.85416666666663</v>
      </c>
      <c r="S781" s="2">
        <f>Employee_Data[[#This Row],[Annual Salary]]/12</f>
        <v>5278.833333333333</v>
      </c>
    </row>
    <row r="782" spans="1:19" x14ac:dyDescent="0.3">
      <c r="A782" t="s">
        <v>1639</v>
      </c>
      <c r="B782" t="s">
        <v>1640</v>
      </c>
      <c r="C782" t="s">
        <v>20</v>
      </c>
      <c r="D782" t="s">
        <v>21</v>
      </c>
      <c r="E782" t="s">
        <v>22</v>
      </c>
      <c r="F782" t="s">
        <v>23</v>
      </c>
      <c r="G782" t="s">
        <v>43</v>
      </c>
      <c r="H782">
        <v>40</v>
      </c>
      <c r="I782" s="1">
        <v>41831</v>
      </c>
      <c r="J782" s="2">
        <v>105574</v>
      </c>
      <c r="K782" s="3">
        <v>0</v>
      </c>
      <c r="L782" t="s">
        <v>25</v>
      </c>
      <c r="M782" t="s">
        <v>70</v>
      </c>
      <c r="N782" s="2">
        <f>Employee_Data[[#This Row],[Basic Salary]]*10%</f>
        <v>879.78333333333342</v>
      </c>
      <c r="O782" s="4">
        <f>Employee_Data[[#This Row],[Basic Salary]]*7.5%</f>
        <v>659.83749999999998</v>
      </c>
      <c r="P782" s="2">
        <f>Employee_Data[[#This Row],[Basic Salary]]*3%</f>
        <v>263.935</v>
      </c>
      <c r="Q782" s="2">
        <f>SUM(Employee_Data[[#This Row],[Basic Salary]],Employee_Data[[#This Row],[HRA]],Employee_Data[[#This Row],[MA]],Employee_Data[[#This Row],[TA]])</f>
        <v>10601.389166666666</v>
      </c>
      <c r="R782" s="4">
        <f>Employee_Data[[#This Row],[Basic Salary]]*12.5%</f>
        <v>1099.7291666666667</v>
      </c>
      <c r="S782" s="2">
        <f>Employee_Data[[#This Row],[Annual Salary]]/12</f>
        <v>8797.8333333333339</v>
      </c>
    </row>
    <row r="783" spans="1:19" x14ac:dyDescent="0.3">
      <c r="A783" t="s">
        <v>1641</v>
      </c>
      <c r="B783" t="s">
        <v>1642</v>
      </c>
      <c r="C783" t="s">
        <v>436</v>
      </c>
      <c r="D783" t="s">
        <v>21</v>
      </c>
      <c r="E783" t="s">
        <v>31</v>
      </c>
      <c r="F783" t="s">
        <v>23</v>
      </c>
      <c r="G783" t="s">
        <v>24</v>
      </c>
      <c r="H783">
        <v>31</v>
      </c>
      <c r="I783" s="1">
        <v>42106</v>
      </c>
      <c r="J783" s="2">
        <v>101941</v>
      </c>
      <c r="K783" s="3">
        <v>0</v>
      </c>
      <c r="L783" t="s">
        <v>37</v>
      </c>
      <c r="M783" t="s">
        <v>111</v>
      </c>
      <c r="N783" s="2">
        <f>Employee_Data[[#This Row],[Basic Salary]]*10%</f>
        <v>849.50833333333344</v>
      </c>
      <c r="O783" s="4">
        <f>Employee_Data[[#This Row],[Basic Salary]]*7.5%</f>
        <v>637.13125000000002</v>
      </c>
      <c r="P783" s="2">
        <f>Employee_Data[[#This Row],[Basic Salary]]*3%</f>
        <v>254.85250000000002</v>
      </c>
      <c r="Q783" s="2">
        <f>SUM(Employee_Data[[#This Row],[Basic Salary]],Employee_Data[[#This Row],[HRA]],Employee_Data[[#This Row],[MA]],Employee_Data[[#This Row],[TA]])</f>
        <v>10236.575416666668</v>
      </c>
      <c r="R783" s="4">
        <f>Employee_Data[[#This Row],[Basic Salary]]*12.5%</f>
        <v>1061.8854166666667</v>
      </c>
      <c r="S783" s="2">
        <f>Employee_Data[[#This Row],[Annual Salary]]/12</f>
        <v>8495.0833333333339</v>
      </c>
    </row>
    <row r="784" spans="1:19" x14ac:dyDescent="0.3">
      <c r="A784" t="s">
        <v>1643</v>
      </c>
      <c r="B784" t="s">
        <v>1644</v>
      </c>
      <c r="C784" t="s">
        <v>227</v>
      </c>
      <c r="D784" t="s">
        <v>4</v>
      </c>
      <c r="E784" t="s">
        <v>36</v>
      </c>
      <c r="F784" t="s">
        <v>23</v>
      </c>
      <c r="G784" t="s">
        <v>84</v>
      </c>
      <c r="H784">
        <v>45</v>
      </c>
      <c r="I784" s="1">
        <v>38550</v>
      </c>
      <c r="J784" s="2">
        <v>74777</v>
      </c>
      <c r="K784" s="3">
        <v>0</v>
      </c>
      <c r="L784" t="s">
        <v>25</v>
      </c>
      <c r="M784" t="s">
        <v>48</v>
      </c>
      <c r="N784" s="2">
        <f>Employee_Data[[#This Row],[Basic Salary]]*10%</f>
        <v>623.14166666666677</v>
      </c>
      <c r="O784" s="4">
        <f>Employee_Data[[#This Row],[Basic Salary]]*7.5%</f>
        <v>467.35624999999999</v>
      </c>
      <c r="P784" s="2">
        <f>Employee_Data[[#This Row],[Basic Salary]]*3%</f>
        <v>186.9425</v>
      </c>
      <c r="Q784" s="2">
        <f>SUM(Employee_Data[[#This Row],[Basic Salary]],Employee_Data[[#This Row],[HRA]],Employee_Data[[#This Row],[MA]],Employee_Data[[#This Row],[TA]])</f>
        <v>7508.8570833333333</v>
      </c>
      <c r="R784" s="4">
        <f>Employee_Data[[#This Row],[Basic Salary]]*12.5%</f>
        <v>778.92708333333337</v>
      </c>
      <c r="S784" s="2">
        <f>Employee_Data[[#This Row],[Annual Salary]]/12</f>
        <v>6231.416666666667</v>
      </c>
    </row>
    <row r="785" spans="1:19" x14ac:dyDescent="0.3">
      <c r="A785" t="s">
        <v>1645</v>
      </c>
      <c r="B785" t="s">
        <v>1646</v>
      </c>
      <c r="C785" t="s">
        <v>29</v>
      </c>
      <c r="D785" t="s">
        <v>30</v>
      </c>
      <c r="E785" t="s">
        <v>36</v>
      </c>
      <c r="F785" t="s">
        <v>23</v>
      </c>
      <c r="G785" t="s">
        <v>66</v>
      </c>
      <c r="H785">
        <v>40</v>
      </c>
      <c r="I785" s="1">
        <v>44454</v>
      </c>
      <c r="J785" s="2">
        <v>59447</v>
      </c>
      <c r="K785" s="3">
        <v>0</v>
      </c>
      <c r="L785" t="s">
        <v>25</v>
      </c>
      <c r="M785" t="s">
        <v>48</v>
      </c>
      <c r="N785" s="2">
        <f>Employee_Data[[#This Row],[Basic Salary]]*10%</f>
        <v>495.39166666666671</v>
      </c>
      <c r="O785" s="4">
        <f>Employee_Data[[#This Row],[Basic Salary]]*7.5%</f>
        <v>371.54374999999999</v>
      </c>
      <c r="P785" s="2">
        <f>Employee_Data[[#This Row],[Basic Salary]]*3%</f>
        <v>148.61750000000001</v>
      </c>
      <c r="Q785" s="2">
        <f>SUM(Employee_Data[[#This Row],[Basic Salary]],Employee_Data[[#This Row],[HRA]],Employee_Data[[#This Row],[MA]],Employee_Data[[#This Row],[TA]])</f>
        <v>5969.4695833333335</v>
      </c>
      <c r="R785" s="4">
        <f>Employee_Data[[#This Row],[Basic Salary]]*12.5%</f>
        <v>619.23958333333337</v>
      </c>
      <c r="S785" s="2">
        <f>Employee_Data[[#This Row],[Annual Salary]]/12</f>
        <v>4953.916666666667</v>
      </c>
    </row>
    <row r="786" spans="1:19" x14ac:dyDescent="0.3">
      <c r="A786" t="s">
        <v>1647</v>
      </c>
      <c r="B786" t="s">
        <v>1648</v>
      </c>
      <c r="C786" t="s">
        <v>69</v>
      </c>
      <c r="D786" t="s">
        <v>80</v>
      </c>
      <c r="E786" t="s">
        <v>22</v>
      </c>
      <c r="F786" t="s">
        <v>23</v>
      </c>
      <c r="G786" t="s">
        <v>24</v>
      </c>
      <c r="H786">
        <v>25</v>
      </c>
      <c r="I786" s="1">
        <v>44538</v>
      </c>
      <c r="J786" s="2">
        <v>105072</v>
      </c>
      <c r="K786" s="3">
        <v>0.06</v>
      </c>
      <c r="L786" t="s">
        <v>37</v>
      </c>
      <c r="M786" t="s">
        <v>62</v>
      </c>
      <c r="N786" s="2">
        <f>Employee_Data[[#This Row],[Basic Salary]]*10%</f>
        <v>875.6</v>
      </c>
      <c r="O786" s="4">
        <f>Employee_Data[[#This Row],[Basic Salary]]*7.5%</f>
        <v>656.69999999999993</v>
      </c>
      <c r="P786" s="2">
        <f>Employee_Data[[#This Row],[Basic Salary]]*3%</f>
        <v>262.68</v>
      </c>
      <c r="Q786" s="2">
        <f>SUM(Employee_Data[[#This Row],[Basic Salary]],Employee_Data[[#This Row],[HRA]],Employee_Data[[#This Row],[MA]],Employee_Data[[#This Row],[TA]])</f>
        <v>10550.980000000001</v>
      </c>
      <c r="R786" s="4">
        <f>Employee_Data[[#This Row],[Basic Salary]]*12.5%</f>
        <v>1094.5</v>
      </c>
      <c r="S786" s="2">
        <f>Employee_Data[[#This Row],[Annual Salary]]/12</f>
        <v>8756</v>
      </c>
    </row>
    <row r="787" spans="1:19" x14ac:dyDescent="0.3">
      <c r="A787" t="s">
        <v>1649</v>
      </c>
      <c r="B787" t="s">
        <v>1650</v>
      </c>
      <c r="C787" t="s">
        <v>83</v>
      </c>
      <c r="D787" t="s">
        <v>4</v>
      </c>
      <c r="G787" t="s">
        <v>43</v>
      </c>
      <c r="H787">
        <v>53</v>
      </c>
      <c r="I787" s="1">
        <v>36304</v>
      </c>
      <c r="J787" s="2">
        <v>150893</v>
      </c>
      <c r="K787" s="3">
        <v>0.13</v>
      </c>
      <c r="L787" t="s">
        <v>25</v>
      </c>
      <c r="M787" t="s">
        <v>32</v>
      </c>
      <c r="N787" s="2">
        <f>Employee_Data[[#This Row],[Basic Salary]]*10%</f>
        <v>1257.4416666666666</v>
      </c>
      <c r="O787" s="4">
        <f>Employee_Data[[#This Row],[Basic Salary]]*7.5%</f>
        <v>943.08124999999995</v>
      </c>
      <c r="P787" s="2">
        <f>Employee_Data[[#This Row],[Basic Salary]]*3%</f>
        <v>377.23249999999996</v>
      </c>
      <c r="Q787" s="2">
        <f>SUM(Employee_Data[[#This Row],[Basic Salary]],Employee_Data[[#This Row],[HRA]],Employee_Data[[#This Row],[MA]],Employee_Data[[#This Row],[TA]])</f>
        <v>15152.172083333333</v>
      </c>
      <c r="R787" s="4">
        <f>Employee_Data[[#This Row],[Basic Salary]]*12.5%</f>
        <v>1571.8020833333333</v>
      </c>
      <c r="S787" s="2">
        <f>Employee_Data[[#This Row],[Annual Salary]]/12</f>
        <v>12574.416666666666</v>
      </c>
    </row>
    <row r="788" spans="1:19" x14ac:dyDescent="0.3">
      <c r="A788" t="s">
        <v>1651</v>
      </c>
      <c r="B788" t="s">
        <v>1652</v>
      </c>
      <c r="C788" t="s">
        <v>47</v>
      </c>
      <c r="E788" t="s">
        <v>31</v>
      </c>
      <c r="G788" t="s">
        <v>43</v>
      </c>
      <c r="H788">
        <v>49</v>
      </c>
      <c r="I788" s="1">
        <v>41313</v>
      </c>
      <c r="J788" s="2">
        <v>156276</v>
      </c>
      <c r="K788" s="3">
        <v>0.22</v>
      </c>
      <c r="L788" t="s">
        <v>25</v>
      </c>
      <c r="M788" t="s">
        <v>48</v>
      </c>
      <c r="N788" s="2">
        <f>Employee_Data[[#This Row],[Basic Salary]]*10%</f>
        <v>1302.3000000000002</v>
      </c>
      <c r="O788" s="4">
        <f>Employee_Data[[#This Row],[Basic Salary]]*7.5%</f>
        <v>976.72499999999991</v>
      </c>
      <c r="P788" s="2">
        <f>Employee_Data[[#This Row],[Basic Salary]]*3%</f>
        <v>390.69</v>
      </c>
      <c r="Q788" s="2">
        <f>SUM(Employee_Data[[#This Row],[Basic Salary]],Employee_Data[[#This Row],[HRA]],Employee_Data[[#This Row],[MA]],Employee_Data[[#This Row],[TA]])</f>
        <v>15692.715</v>
      </c>
      <c r="R788" s="4">
        <f>Employee_Data[[#This Row],[Basic Salary]]*12.5%</f>
        <v>1627.875</v>
      </c>
      <c r="S788" s="2">
        <f>Employee_Data[[#This Row],[Annual Salary]]/12</f>
        <v>13023</v>
      </c>
    </row>
    <row r="789" spans="1:19" x14ac:dyDescent="0.3">
      <c r="A789" t="s">
        <v>1653</v>
      </c>
      <c r="B789" t="s">
        <v>1654</v>
      </c>
      <c r="D789" t="s">
        <v>55</v>
      </c>
      <c r="F789" t="s">
        <v>42</v>
      </c>
      <c r="G789" t="s">
        <v>24</v>
      </c>
      <c r="H789">
        <v>31</v>
      </c>
      <c r="I789" s="1">
        <v>44861</v>
      </c>
      <c r="J789" s="2">
        <v>191755</v>
      </c>
      <c r="K789" s="3">
        <v>0.4</v>
      </c>
      <c r="L789" t="s">
        <v>25</v>
      </c>
      <c r="M789" t="s">
        <v>70</v>
      </c>
      <c r="N789" s="2">
        <f>Employee_Data[[#This Row],[Basic Salary]]*10%</f>
        <v>1597.9583333333335</v>
      </c>
      <c r="O789" s="4">
        <f>Employee_Data[[#This Row],[Basic Salary]]*7.5%</f>
        <v>1198.46875</v>
      </c>
      <c r="P789" s="2">
        <f>Employee_Data[[#This Row],[Basic Salary]]*3%</f>
        <v>479.38749999999999</v>
      </c>
      <c r="Q789" s="2">
        <f>SUM(Employee_Data[[#This Row],[Basic Salary]],Employee_Data[[#This Row],[HRA]],Employee_Data[[#This Row],[MA]],Employee_Data[[#This Row],[TA]])</f>
        <v>19255.397916666669</v>
      </c>
      <c r="R789" s="4">
        <f>Employee_Data[[#This Row],[Basic Salary]]*12.5%</f>
        <v>1997.4479166666667</v>
      </c>
      <c r="S789" s="2">
        <f>Employee_Data[[#This Row],[Annual Salary]]/12</f>
        <v>15979.583333333334</v>
      </c>
    </row>
    <row r="790" spans="1:19" x14ac:dyDescent="0.3">
      <c r="A790" t="s">
        <v>1655</v>
      </c>
      <c r="C790" t="s">
        <v>355</v>
      </c>
      <c r="D790" t="s">
        <v>4</v>
      </c>
      <c r="F790" t="s">
        <v>42</v>
      </c>
      <c r="G790" t="s">
        <v>66</v>
      </c>
      <c r="H790">
        <v>33</v>
      </c>
      <c r="I790" s="1">
        <v>44139</v>
      </c>
      <c r="J790" s="2">
        <v>81070</v>
      </c>
      <c r="K790" s="3">
        <v>0</v>
      </c>
      <c r="L790" t="s">
        <v>25</v>
      </c>
      <c r="M790" t="s">
        <v>70</v>
      </c>
      <c r="N790" s="2">
        <f>Employee_Data[[#This Row],[Basic Salary]]*10%</f>
        <v>675.58333333333337</v>
      </c>
      <c r="O790" s="4">
        <f>Employee_Data[[#This Row],[Basic Salary]]*7.5%</f>
        <v>506.68749999999994</v>
      </c>
      <c r="P790" s="2">
        <f>Employee_Data[[#This Row],[Basic Salary]]*3%</f>
        <v>202.67499999999998</v>
      </c>
      <c r="Q790" s="2">
        <f>SUM(Employee_Data[[#This Row],[Basic Salary]],Employee_Data[[#This Row],[HRA]],Employee_Data[[#This Row],[MA]],Employee_Data[[#This Row],[TA]])</f>
        <v>8140.7791666666662</v>
      </c>
      <c r="R790" s="4">
        <f>Employee_Data[[#This Row],[Basic Salary]]*12.5%</f>
        <v>844.47916666666663</v>
      </c>
      <c r="S790" s="2">
        <f>Employee_Data[[#This Row],[Annual Salary]]/12</f>
        <v>6755.833333333333</v>
      </c>
    </row>
    <row r="791" spans="1:19" x14ac:dyDescent="0.3">
      <c r="A791" t="s">
        <v>1656</v>
      </c>
      <c r="B791" t="s">
        <v>1657</v>
      </c>
      <c r="D791" t="s">
        <v>55</v>
      </c>
      <c r="F791" t="s">
        <v>23</v>
      </c>
      <c r="G791" t="s">
        <v>43</v>
      </c>
      <c r="H791">
        <v>40</v>
      </c>
      <c r="I791" s="1">
        <v>44531</v>
      </c>
      <c r="J791" s="2">
        <v>176533</v>
      </c>
      <c r="K791" s="3">
        <v>0.25</v>
      </c>
      <c r="L791" t="s">
        <v>25</v>
      </c>
      <c r="M791" t="s">
        <v>48</v>
      </c>
      <c r="N791" s="2">
        <f>Employee_Data[[#This Row],[Basic Salary]]*10%</f>
        <v>1471.1083333333336</v>
      </c>
      <c r="O791" s="4">
        <f>Employee_Data[[#This Row],[Basic Salary]]*7.5%</f>
        <v>1103.33125</v>
      </c>
      <c r="P791" s="2">
        <f>Employee_Data[[#This Row],[Basic Salary]]*3%</f>
        <v>441.33249999999998</v>
      </c>
      <c r="Q791" s="2">
        <f>SUM(Employee_Data[[#This Row],[Basic Salary]],Employee_Data[[#This Row],[HRA]],Employee_Data[[#This Row],[MA]],Employee_Data[[#This Row],[TA]])</f>
        <v>17726.855416666669</v>
      </c>
      <c r="R791" s="4">
        <f>Employee_Data[[#This Row],[Basic Salary]]*12.5%</f>
        <v>1838.8854166666667</v>
      </c>
      <c r="S791" s="2">
        <f>Employee_Data[[#This Row],[Annual Salary]]/12</f>
        <v>14711.083333333334</v>
      </c>
    </row>
    <row r="792" spans="1:19" x14ac:dyDescent="0.3">
      <c r="A792" t="s">
        <v>1658</v>
      </c>
      <c r="B792" t="s">
        <v>1659</v>
      </c>
      <c r="C792" t="s">
        <v>94</v>
      </c>
      <c r="F792" t="s">
        <v>42</v>
      </c>
      <c r="G792" t="s">
        <v>24</v>
      </c>
      <c r="H792">
        <v>29</v>
      </c>
      <c r="I792" s="1">
        <v>44069</v>
      </c>
      <c r="J792" s="2">
        <v>60919</v>
      </c>
      <c r="K792" s="3">
        <v>0</v>
      </c>
      <c r="L792" t="s">
        <v>25</v>
      </c>
      <c r="M792" t="s">
        <v>26</v>
      </c>
      <c r="N792" s="2">
        <f>Employee_Data[[#This Row],[Basic Salary]]*10%</f>
        <v>507.6583333333333</v>
      </c>
      <c r="O792" s="4">
        <f>Employee_Data[[#This Row],[Basic Salary]]*7.5%</f>
        <v>380.74374999999998</v>
      </c>
      <c r="P792" s="2">
        <f>Employee_Data[[#This Row],[Basic Salary]]*3%</f>
        <v>152.29749999999999</v>
      </c>
      <c r="Q792" s="2">
        <f>SUM(Employee_Data[[#This Row],[Basic Salary]],Employee_Data[[#This Row],[HRA]],Employee_Data[[#This Row],[MA]],Employee_Data[[#This Row],[TA]])</f>
        <v>6117.2829166666661</v>
      </c>
      <c r="R792" s="4">
        <f>Employee_Data[[#This Row],[Basic Salary]]*12.5%</f>
        <v>634.57291666666663</v>
      </c>
      <c r="S792" s="2">
        <f>Employee_Data[[#This Row],[Annual Salary]]/12</f>
        <v>5076.583333333333</v>
      </c>
    </row>
    <row r="793" spans="1:19" x14ac:dyDescent="0.3">
      <c r="A793" t="s">
        <v>1660</v>
      </c>
      <c r="B793" t="s">
        <v>1661</v>
      </c>
      <c r="C793" t="s">
        <v>198</v>
      </c>
      <c r="F793" t="s">
        <v>23</v>
      </c>
      <c r="G793" t="s">
        <v>24</v>
      </c>
      <c r="H793">
        <v>51</v>
      </c>
      <c r="K793" s="3">
        <v>0</v>
      </c>
      <c r="L793" t="s">
        <v>37</v>
      </c>
      <c r="M793" t="s">
        <v>57</v>
      </c>
      <c r="N793" s="2">
        <f>Employee_Data[[#This Row],[Basic Salary]]*10%</f>
        <v>0</v>
      </c>
      <c r="O793" s="4">
        <f>Employee_Data[[#This Row],[Basic Salary]]*7.5%</f>
        <v>0</v>
      </c>
      <c r="P793" s="2">
        <f>Employee_Data[[#This Row],[Basic Salary]]*3%</f>
        <v>0</v>
      </c>
      <c r="Q793" s="2">
        <f>SUM(Employee_Data[[#This Row],[Basic Salary]],Employee_Data[[#This Row],[HRA]],Employee_Data[[#This Row],[MA]],Employee_Data[[#This Row],[TA]])</f>
        <v>0</v>
      </c>
      <c r="R793" s="4">
        <f>Employee_Data[[#This Row],[Basic Salary]]*12.5%</f>
        <v>0</v>
      </c>
      <c r="S793" s="2">
        <f>Employee_Data[[#This Row],[Annual Salary]]/12</f>
        <v>0</v>
      </c>
    </row>
    <row r="794" spans="1:19" x14ac:dyDescent="0.3">
      <c r="A794" t="s">
        <v>1662</v>
      </c>
      <c r="B794" t="s">
        <v>1663</v>
      </c>
      <c r="C794" t="s">
        <v>29</v>
      </c>
      <c r="D794" t="s">
        <v>30</v>
      </c>
      <c r="G794" t="s">
        <v>24</v>
      </c>
      <c r="H794">
        <v>31</v>
      </c>
      <c r="I794" s="1">
        <v>44519</v>
      </c>
      <c r="L794" t="s">
        <v>25</v>
      </c>
      <c r="M794" t="s">
        <v>32</v>
      </c>
      <c r="N794" s="2">
        <f>Employee_Data[[#This Row],[Basic Salary]]*10%</f>
        <v>0</v>
      </c>
      <c r="O794" s="4">
        <f>Employee_Data[[#This Row],[Basic Salary]]*7.5%</f>
        <v>0</v>
      </c>
      <c r="P794" s="2">
        <f>Employee_Data[[#This Row],[Basic Salary]]*3%</f>
        <v>0</v>
      </c>
      <c r="Q794" s="2">
        <f>SUM(Employee_Data[[#This Row],[Basic Salary]],Employee_Data[[#This Row],[HRA]],Employee_Data[[#This Row],[MA]],Employee_Data[[#This Row],[TA]])</f>
        <v>0</v>
      </c>
      <c r="R794" s="4">
        <f>Employee_Data[[#This Row],[Basic Salary]]*12.5%</f>
        <v>0</v>
      </c>
      <c r="S794" s="2">
        <f>Employee_Data[[#This Row],[Annual Salary]]/12</f>
        <v>0</v>
      </c>
    </row>
    <row r="795" spans="1:19" x14ac:dyDescent="0.3">
      <c r="A795" t="s">
        <v>1664</v>
      </c>
      <c r="B795" t="s">
        <v>1665</v>
      </c>
      <c r="C795" t="s">
        <v>54</v>
      </c>
      <c r="D795" t="s">
        <v>55</v>
      </c>
      <c r="F795" t="s">
        <v>42</v>
      </c>
      <c r="G795" t="s">
        <v>24</v>
      </c>
      <c r="H795">
        <v>44</v>
      </c>
      <c r="I795" s="1">
        <v>39897</v>
      </c>
      <c r="K795" s="3">
        <v>0</v>
      </c>
      <c r="L795" t="s">
        <v>25</v>
      </c>
      <c r="M795" t="s">
        <v>32</v>
      </c>
      <c r="N795" s="2">
        <f>Employee_Data[[#This Row],[Basic Salary]]*10%</f>
        <v>0</v>
      </c>
      <c r="O795" s="4">
        <f>Employee_Data[[#This Row],[Basic Salary]]*7.5%</f>
        <v>0</v>
      </c>
      <c r="P795" s="2">
        <f>Employee_Data[[#This Row],[Basic Salary]]*3%</f>
        <v>0</v>
      </c>
      <c r="Q795" s="2">
        <f>SUM(Employee_Data[[#This Row],[Basic Salary]],Employee_Data[[#This Row],[HRA]],Employee_Data[[#This Row],[MA]],Employee_Data[[#This Row],[TA]])</f>
        <v>0</v>
      </c>
      <c r="R795" s="4">
        <f>Employee_Data[[#This Row],[Basic Salary]]*12.5%</f>
        <v>0</v>
      </c>
      <c r="S795" s="2">
        <f>Employee_Data[[#This Row],[Annual Salary]]/12</f>
        <v>0</v>
      </c>
    </row>
    <row r="796" spans="1:19" x14ac:dyDescent="0.3">
      <c r="A796" t="s">
        <v>1666</v>
      </c>
      <c r="B796" t="s">
        <v>1667</v>
      </c>
      <c r="C796" t="s">
        <v>104</v>
      </c>
      <c r="F796" t="s">
        <v>42</v>
      </c>
      <c r="G796" t="s">
        <v>66</v>
      </c>
      <c r="H796">
        <v>38</v>
      </c>
      <c r="K796" s="3">
        <v>0</v>
      </c>
      <c r="L796" t="s">
        <v>25</v>
      </c>
      <c r="M796" t="s">
        <v>44</v>
      </c>
      <c r="N796" s="2">
        <f>Employee_Data[[#This Row],[Basic Salary]]*10%</f>
        <v>0</v>
      </c>
      <c r="O796" s="4">
        <f>Employee_Data[[#This Row],[Basic Salary]]*7.5%</f>
        <v>0</v>
      </c>
      <c r="P796" s="2">
        <f>Employee_Data[[#This Row],[Basic Salary]]*3%</f>
        <v>0</v>
      </c>
      <c r="Q796" s="2">
        <f>SUM(Employee_Data[[#This Row],[Basic Salary]],Employee_Data[[#This Row],[HRA]],Employee_Data[[#This Row],[MA]],Employee_Data[[#This Row],[TA]])</f>
        <v>0</v>
      </c>
      <c r="R796" s="4">
        <f>Employee_Data[[#This Row],[Basic Salary]]*12.5%</f>
        <v>0</v>
      </c>
      <c r="S796" s="2">
        <f>Employee_Data[[#This Row],[Annual Salary]]/12</f>
        <v>0</v>
      </c>
    </row>
    <row r="797" spans="1:19" x14ac:dyDescent="0.3">
      <c r="A797" t="s">
        <v>1668</v>
      </c>
      <c r="B797" t="s">
        <v>1669</v>
      </c>
      <c r="D797" t="s">
        <v>55</v>
      </c>
      <c r="F797" t="s">
        <v>42</v>
      </c>
      <c r="G797" t="s">
        <v>24</v>
      </c>
      <c r="J797" s="2">
        <v>129172</v>
      </c>
      <c r="L797" t="s">
        <v>37</v>
      </c>
      <c r="M797" t="s">
        <v>111</v>
      </c>
      <c r="N797" s="2">
        <f>Employee_Data[[#This Row],[Basic Salary]]*10%</f>
        <v>1076.4333333333334</v>
      </c>
      <c r="O797" s="4">
        <f>Employee_Data[[#This Row],[Basic Salary]]*7.5%</f>
        <v>807.32500000000005</v>
      </c>
      <c r="P797" s="2">
        <f>Employee_Data[[#This Row],[Basic Salary]]*3%</f>
        <v>322.93</v>
      </c>
      <c r="Q797" s="2">
        <f>SUM(Employee_Data[[#This Row],[Basic Salary]],Employee_Data[[#This Row],[HRA]],Employee_Data[[#This Row],[MA]],Employee_Data[[#This Row],[TA]])</f>
        <v>12971.021666666667</v>
      </c>
      <c r="R797" s="4">
        <f>Employee_Data[[#This Row],[Basic Salary]]*12.5%</f>
        <v>1345.5416666666667</v>
      </c>
      <c r="S797" s="2">
        <f>Employee_Data[[#This Row],[Annual Salary]]/12</f>
        <v>10764.333333333334</v>
      </c>
    </row>
    <row r="798" spans="1:19" x14ac:dyDescent="0.3">
      <c r="A798" t="s">
        <v>1670</v>
      </c>
      <c r="C798" t="s">
        <v>29</v>
      </c>
      <c r="D798" t="s">
        <v>55</v>
      </c>
      <c r="F798" t="s">
        <v>42</v>
      </c>
      <c r="G798" t="s">
        <v>24</v>
      </c>
      <c r="H798">
        <v>49</v>
      </c>
      <c r="I798" s="1">
        <v>44238</v>
      </c>
      <c r="J798" s="2">
        <v>50012</v>
      </c>
      <c r="L798" t="s">
        <v>25</v>
      </c>
      <c r="M798" t="s">
        <v>44</v>
      </c>
      <c r="N798" s="2">
        <f>Employee_Data[[#This Row],[Basic Salary]]*10%</f>
        <v>416.76666666666671</v>
      </c>
      <c r="O798" s="4">
        <f>Employee_Data[[#This Row],[Basic Salary]]*7.5%</f>
        <v>312.57499999999999</v>
      </c>
      <c r="P798" s="2">
        <f>Employee_Data[[#This Row],[Basic Salary]]*3%</f>
        <v>125.03</v>
      </c>
      <c r="Q798" s="2">
        <f>SUM(Employee_Data[[#This Row],[Basic Salary]],Employee_Data[[#This Row],[HRA]],Employee_Data[[#This Row],[MA]],Employee_Data[[#This Row],[TA]])</f>
        <v>5022.038333333333</v>
      </c>
      <c r="R798" s="4">
        <f>Employee_Data[[#This Row],[Basic Salary]]*12.5%</f>
        <v>520.95833333333337</v>
      </c>
      <c r="S798" s="2">
        <f>Employee_Data[[#This Row],[Annual Salary]]/12</f>
        <v>4167.666666666667</v>
      </c>
    </row>
    <row r="799" spans="1:19" x14ac:dyDescent="0.3">
      <c r="A799" t="s">
        <v>1671</v>
      </c>
      <c r="D799" t="s">
        <v>30</v>
      </c>
      <c r="F799" t="s">
        <v>42</v>
      </c>
      <c r="G799" t="s">
        <v>24</v>
      </c>
      <c r="H799">
        <v>44</v>
      </c>
      <c r="J799" s="2">
        <v>122441</v>
      </c>
      <c r="L799" t="s">
        <v>25</v>
      </c>
      <c r="M799" t="s">
        <v>26</v>
      </c>
      <c r="N799" s="2">
        <f>Employee_Data[[#This Row],[Basic Salary]]*10%</f>
        <v>1020.3416666666667</v>
      </c>
      <c r="O799" s="4">
        <f>Employee_Data[[#This Row],[Basic Salary]]*7.5%</f>
        <v>765.25624999999991</v>
      </c>
      <c r="P799" s="2">
        <f>Employee_Data[[#This Row],[Basic Salary]]*3%</f>
        <v>306.10249999999996</v>
      </c>
      <c r="Q799" s="2">
        <f>SUM(Employee_Data[[#This Row],[Basic Salary]],Employee_Data[[#This Row],[HRA]],Employee_Data[[#This Row],[MA]],Employee_Data[[#This Row],[TA]])</f>
        <v>12295.117083333334</v>
      </c>
      <c r="R799" s="4">
        <f>Employee_Data[[#This Row],[Basic Salary]]*12.5%</f>
        <v>1275.4270833333333</v>
      </c>
      <c r="S799" s="2">
        <f>Employee_Data[[#This Row],[Annual Salary]]/12</f>
        <v>10203.416666666666</v>
      </c>
    </row>
    <row r="800" spans="1:19" x14ac:dyDescent="0.3">
      <c r="A800" t="s">
        <v>1672</v>
      </c>
      <c r="B800" t="s">
        <v>1673</v>
      </c>
      <c r="C800" t="s">
        <v>20</v>
      </c>
      <c r="G800" t="s">
        <v>43</v>
      </c>
      <c r="H800">
        <v>45</v>
      </c>
      <c r="J800" s="2">
        <v>85822</v>
      </c>
      <c r="K800" s="3">
        <v>0</v>
      </c>
      <c r="M800" t="s">
        <v>51</v>
      </c>
      <c r="N800" s="2">
        <f>Employee_Data[[#This Row],[Basic Salary]]*10%</f>
        <v>715.18333333333339</v>
      </c>
      <c r="O800" s="4">
        <f>Employee_Data[[#This Row],[Basic Salary]]*7.5%</f>
        <v>536.38749999999993</v>
      </c>
      <c r="P800" s="2">
        <f>Employee_Data[[#This Row],[Basic Salary]]*3%</f>
        <v>214.55499999999998</v>
      </c>
      <c r="Q800" s="2">
        <f>SUM(Employee_Data[[#This Row],[Basic Salary]],Employee_Data[[#This Row],[HRA]],Employee_Data[[#This Row],[MA]],Employee_Data[[#This Row],[TA]])</f>
        <v>8617.9591666666674</v>
      </c>
      <c r="R800" s="4">
        <f>Employee_Data[[#This Row],[Basic Salary]]*12.5%</f>
        <v>893.97916666666663</v>
      </c>
      <c r="S800" s="2">
        <f>Employee_Data[[#This Row],[Annual Salary]]/12</f>
        <v>7151.833333333333</v>
      </c>
    </row>
    <row r="801" spans="1:19" x14ac:dyDescent="0.3">
      <c r="A801" t="s">
        <v>1674</v>
      </c>
      <c r="B801" t="s">
        <v>1003</v>
      </c>
      <c r="C801" t="s">
        <v>29</v>
      </c>
      <c r="D801" t="s">
        <v>30</v>
      </c>
      <c r="F801" t="s">
        <v>23</v>
      </c>
      <c r="G801" t="s">
        <v>43</v>
      </c>
      <c r="H801">
        <v>58</v>
      </c>
      <c r="I801" s="1">
        <v>39223</v>
      </c>
      <c r="K801" s="3">
        <v>0</v>
      </c>
      <c r="M801" t="s">
        <v>70</v>
      </c>
      <c r="N801" s="2">
        <f>Employee_Data[[#This Row],[Basic Salary]]*10%</f>
        <v>0</v>
      </c>
      <c r="O801" s="4">
        <f>Employee_Data[[#This Row],[Basic Salary]]*7.5%</f>
        <v>0</v>
      </c>
      <c r="P801" s="2">
        <f>Employee_Data[[#This Row],[Basic Salary]]*3%</f>
        <v>0</v>
      </c>
      <c r="Q801" s="2">
        <f>SUM(Employee_Data[[#This Row],[Basic Salary]],Employee_Data[[#This Row],[HRA]],Employee_Data[[#This Row],[MA]],Employee_Data[[#This Row],[TA]])</f>
        <v>0</v>
      </c>
      <c r="R801" s="4">
        <f>Employee_Data[[#This Row],[Basic Salary]]*12.5%</f>
        <v>0</v>
      </c>
      <c r="S801" s="2">
        <f>Employee_Data[[#This Row],[Annual Salary]]/12</f>
        <v>0</v>
      </c>
    </row>
    <row r="802" spans="1:19" x14ac:dyDescent="0.3">
      <c r="A802" t="s">
        <v>1675</v>
      </c>
      <c r="B802" t="s">
        <v>1676</v>
      </c>
      <c r="C802" t="s">
        <v>54</v>
      </c>
      <c r="D802" t="s">
        <v>55</v>
      </c>
      <c r="F802" t="s">
        <v>23</v>
      </c>
      <c r="G802" t="s">
        <v>24</v>
      </c>
      <c r="H802">
        <v>29</v>
      </c>
      <c r="I802" s="1">
        <v>43798</v>
      </c>
      <c r="J802" s="2">
        <v>72620</v>
      </c>
      <c r="K802" s="3">
        <v>0</v>
      </c>
      <c r="M802" t="s">
        <v>57</v>
      </c>
      <c r="N802" s="2">
        <f>Employee_Data[[#This Row],[Basic Salary]]*10%</f>
        <v>605.16666666666674</v>
      </c>
      <c r="O802" s="4">
        <f>Employee_Data[[#This Row],[Basic Salary]]*7.5%</f>
        <v>453.875</v>
      </c>
      <c r="P802" s="2">
        <f>Employee_Data[[#This Row],[Basic Salary]]*3%</f>
        <v>181.55</v>
      </c>
      <c r="Q802" s="2">
        <f>SUM(Employee_Data[[#This Row],[Basic Salary]],Employee_Data[[#This Row],[HRA]],Employee_Data[[#This Row],[MA]],Employee_Data[[#This Row],[TA]])</f>
        <v>7292.2583333333341</v>
      </c>
      <c r="R802" s="4">
        <f>Employee_Data[[#This Row],[Basic Salary]]*12.5%</f>
        <v>756.45833333333337</v>
      </c>
      <c r="S802" s="2">
        <f>Employee_Data[[#This Row],[Annual Salary]]/12</f>
        <v>6051.666666666667</v>
      </c>
    </row>
    <row r="803" spans="1:19" x14ac:dyDescent="0.3">
      <c r="A803" t="s">
        <v>1677</v>
      </c>
      <c r="B803" t="s">
        <v>1678</v>
      </c>
      <c r="C803" t="s">
        <v>60</v>
      </c>
      <c r="D803" t="s">
        <v>80</v>
      </c>
      <c r="F803" t="s">
        <v>42</v>
      </c>
      <c r="G803" t="s">
        <v>43</v>
      </c>
      <c r="H803">
        <v>25</v>
      </c>
      <c r="I803" s="1">
        <v>44432</v>
      </c>
      <c r="J803" s="2">
        <v>71222</v>
      </c>
      <c r="K803" s="3">
        <v>0</v>
      </c>
      <c r="N803" s="2">
        <f>Employee_Data[[#This Row],[Basic Salary]]*10%</f>
        <v>593.51666666666677</v>
      </c>
      <c r="O803" s="4">
        <f>Employee_Data[[#This Row],[Basic Salary]]*7.5%</f>
        <v>445.13749999999999</v>
      </c>
      <c r="P803" s="2">
        <f>Employee_Data[[#This Row],[Basic Salary]]*3%</f>
        <v>178.05500000000001</v>
      </c>
      <c r="Q803" s="2">
        <f>SUM(Employee_Data[[#This Row],[Basic Salary]],Employee_Data[[#This Row],[HRA]],Employee_Data[[#This Row],[MA]],Employee_Data[[#This Row],[TA]])</f>
        <v>7151.8758333333335</v>
      </c>
      <c r="R803" s="4">
        <f>Employee_Data[[#This Row],[Basic Salary]]*12.5%</f>
        <v>741.89583333333337</v>
      </c>
      <c r="S803" s="2">
        <f>Employee_Data[[#This Row],[Annual Salary]]/12</f>
        <v>5935.166666666667</v>
      </c>
    </row>
    <row r="804" spans="1:19" x14ac:dyDescent="0.3">
      <c r="A804" t="s">
        <v>1679</v>
      </c>
      <c r="B804" t="s">
        <v>1680</v>
      </c>
      <c r="C804" t="s">
        <v>47</v>
      </c>
      <c r="D804" t="s">
        <v>21</v>
      </c>
      <c r="F804" t="s">
        <v>42</v>
      </c>
      <c r="G804" t="s">
        <v>66</v>
      </c>
      <c r="H804">
        <v>62</v>
      </c>
      <c r="I804" s="1">
        <v>34694</v>
      </c>
      <c r="J804" s="2">
        <v>155332</v>
      </c>
      <c r="K804" s="3">
        <v>0.2</v>
      </c>
      <c r="M804" t="s">
        <v>48</v>
      </c>
      <c r="N804" s="2">
        <f>Employee_Data[[#This Row],[Basic Salary]]*10%</f>
        <v>1294.4333333333334</v>
      </c>
      <c r="O804" s="4">
        <f>Employee_Data[[#This Row],[Basic Salary]]*7.5%</f>
        <v>970.82500000000005</v>
      </c>
      <c r="P804" s="2">
        <f>Employee_Data[[#This Row],[Basic Salary]]*3%</f>
        <v>388.33</v>
      </c>
      <c r="Q804" s="2">
        <f>SUM(Employee_Data[[#This Row],[Basic Salary]],Employee_Data[[#This Row],[HRA]],Employee_Data[[#This Row],[MA]],Employee_Data[[#This Row],[TA]])</f>
        <v>15597.921666666667</v>
      </c>
      <c r="R804" s="4">
        <f>Employee_Data[[#This Row],[Basic Salary]]*12.5%</f>
        <v>1618.0416666666667</v>
      </c>
      <c r="S804" s="2">
        <f>Employee_Data[[#This Row],[Annual Salary]]/12</f>
        <v>12944.333333333334</v>
      </c>
    </row>
    <row r="805" spans="1:19" x14ac:dyDescent="0.3">
      <c r="A805" t="s">
        <v>1681</v>
      </c>
      <c r="B805" t="s">
        <v>1682</v>
      </c>
      <c r="C805" t="s">
        <v>69</v>
      </c>
      <c r="D805" t="s">
        <v>61</v>
      </c>
      <c r="E805" t="s">
        <v>22</v>
      </c>
      <c r="G805" t="s">
        <v>43</v>
      </c>
      <c r="H805">
        <v>33</v>
      </c>
      <c r="I805" s="1">
        <v>42695</v>
      </c>
      <c r="J805" s="2">
        <v>107202</v>
      </c>
      <c r="K805" s="3">
        <v>0.06</v>
      </c>
      <c r="M805" t="s">
        <v>26</v>
      </c>
      <c r="N805" s="2">
        <f>Employee_Data[[#This Row],[Basic Salary]]*10%</f>
        <v>893.35</v>
      </c>
      <c r="O805" s="4">
        <f>Employee_Data[[#This Row],[Basic Salary]]*7.5%</f>
        <v>670.01249999999993</v>
      </c>
      <c r="P805" s="2">
        <f>Employee_Data[[#This Row],[Basic Salary]]*3%</f>
        <v>268.005</v>
      </c>
      <c r="Q805" s="2">
        <f>SUM(Employee_Data[[#This Row],[Basic Salary]],Employee_Data[[#This Row],[HRA]],Employee_Data[[#This Row],[MA]],Employee_Data[[#This Row],[TA]])</f>
        <v>10764.8675</v>
      </c>
      <c r="R805" s="4">
        <f>Employee_Data[[#This Row],[Basic Salary]]*12.5%</f>
        <v>1116.6875</v>
      </c>
      <c r="S805" s="2">
        <f>Employee_Data[[#This Row],[Annual Salary]]/12</f>
        <v>8933.5</v>
      </c>
    </row>
    <row r="806" spans="1:19" x14ac:dyDescent="0.3">
      <c r="A806" t="s">
        <v>1683</v>
      </c>
      <c r="B806" t="s">
        <v>1684</v>
      </c>
      <c r="C806" t="s">
        <v>69</v>
      </c>
      <c r="D806" t="s">
        <v>55</v>
      </c>
      <c r="F806" t="s">
        <v>23</v>
      </c>
      <c r="G806" t="s">
        <v>43</v>
      </c>
      <c r="H806">
        <v>56</v>
      </c>
      <c r="I806" s="1">
        <v>42364</v>
      </c>
      <c r="J806" s="2">
        <v>121751</v>
      </c>
      <c r="K806" s="3">
        <v>0.08</v>
      </c>
      <c r="M806" t="s">
        <v>26</v>
      </c>
      <c r="N806" s="2">
        <f>Employee_Data[[#This Row],[Basic Salary]]*10%</f>
        <v>1014.5916666666667</v>
      </c>
      <c r="O806" s="4">
        <f>Employee_Data[[#This Row],[Basic Salary]]*7.5%</f>
        <v>760.94374999999991</v>
      </c>
      <c r="P806" s="2">
        <f>Employee_Data[[#This Row],[Basic Salary]]*3%</f>
        <v>304.3775</v>
      </c>
      <c r="Q806" s="2">
        <f>SUM(Employee_Data[[#This Row],[Basic Salary]],Employee_Data[[#This Row],[HRA]],Employee_Data[[#This Row],[MA]],Employee_Data[[#This Row],[TA]])</f>
        <v>12225.829583333334</v>
      </c>
      <c r="R806" s="4">
        <f>Employee_Data[[#This Row],[Basic Salary]]*12.5%</f>
        <v>1268.2395833333333</v>
      </c>
      <c r="S806" s="2">
        <f>Employee_Data[[#This Row],[Annual Salary]]/12</f>
        <v>10145.916666666666</v>
      </c>
    </row>
    <row r="807" spans="1:19" x14ac:dyDescent="0.3">
      <c r="A807" t="s">
        <v>1685</v>
      </c>
      <c r="B807" t="s">
        <v>1686</v>
      </c>
      <c r="C807" t="s">
        <v>69</v>
      </c>
      <c r="D807" t="s">
        <v>61</v>
      </c>
      <c r="F807" t="s">
        <v>42</v>
      </c>
      <c r="G807" t="s">
        <v>43</v>
      </c>
      <c r="H807">
        <v>45</v>
      </c>
      <c r="I807" s="1">
        <v>40450</v>
      </c>
      <c r="J807" s="2">
        <v>115591</v>
      </c>
      <c r="K807" s="3">
        <v>0.05</v>
      </c>
      <c r="M807" t="s">
        <v>32</v>
      </c>
      <c r="N807" s="2">
        <f>Employee_Data[[#This Row],[Basic Salary]]*10%</f>
        <v>963.25833333333344</v>
      </c>
      <c r="O807" s="4">
        <f>Employee_Data[[#This Row],[Basic Salary]]*7.5%</f>
        <v>722.44375000000002</v>
      </c>
      <c r="P807" s="2">
        <f>Employee_Data[[#This Row],[Basic Salary]]*3%</f>
        <v>288.97750000000002</v>
      </c>
      <c r="Q807" s="2">
        <f>SUM(Employee_Data[[#This Row],[Basic Salary]],Employee_Data[[#This Row],[HRA]],Employee_Data[[#This Row],[MA]],Employee_Data[[#This Row],[TA]])</f>
        <v>11607.262916666668</v>
      </c>
      <c r="R807" s="4">
        <f>Employee_Data[[#This Row],[Basic Salary]]*12.5%</f>
        <v>1204.0729166666667</v>
      </c>
      <c r="S807" s="2">
        <f>Employee_Data[[#This Row],[Annual Salary]]/12</f>
        <v>9632.5833333333339</v>
      </c>
    </row>
    <row r="808" spans="1:19" x14ac:dyDescent="0.3">
      <c r="A808" t="s">
        <v>1687</v>
      </c>
      <c r="B808" t="s">
        <v>1688</v>
      </c>
      <c r="C808" t="s">
        <v>69</v>
      </c>
      <c r="D808" t="s">
        <v>126</v>
      </c>
      <c r="F808" t="s">
        <v>42</v>
      </c>
      <c r="G808" t="s">
        <v>43</v>
      </c>
      <c r="H808">
        <v>28</v>
      </c>
      <c r="I808" s="1">
        <v>44266</v>
      </c>
      <c r="J808" s="2">
        <v>108601</v>
      </c>
      <c r="K808" s="3">
        <v>0.05</v>
      </c>
      <c r="M808" t="s">
        <v>138</v>
      </c>
      <c r="N808" s="2">
        <f>Employee_Data[[#This Row],[Basic Salary]]*10%</f>
        <v>905.00833333333344</v>
      </c>
      <c r="O808" s="4">
        <f>Employee_Data[[#This Row],[Basic Salary]]*7.5%</f>
        <v>678.75625000000002</v>
      </c>
      <c r="P808" s="2">
        <f>Employee_Data[[#This Row],[Basic Salary]]*3%</f>
        <v>271.5025</v>
      </c>
      <c r="Q808" s="2">
        <f>SUM(Employee_Data[[#This Row],[Basic Salary]],Employee_Data[[#This Row],[HRA]],Employee_Data[[#This Row],[MA]],Employee_Data[[#This Row],[TA]])</f>
        <v>10905.350416666668</v>
      </c>
      <c r="R808" s="4">
        <f>Employee_Data[[#This Row],[Basic Salary]]*12.5%</f>
        <v>1131.2604166666667</v>
      </c>
      <c r="S808" s="2">
        <f>Employee_Data[[#This Row],[Annual Salary]]/12</f>
        <v>9050.0833333333339</v>
      </c>
    </row>
    <row r="809" spans="1:19" x14ac:dyDescent="0.3">
      <c r="A809" t="s">
        <v>1689</v>
      </c>
      <c r="B809" t="s">
        <v>1690</v>
      </c>
      <c r="C809" t="s">
        <v>83</v>
      </c>
      <c r="E809" t="s">
        <v>22</v>
      </c>
      <c r="G809" t="s">
        <v>24</v>
      </c>
      <c r="H809">
        <v>30</v>
      </c>
      <c r="I809" s="1">
        <v>43542</v>
      </c>
      <c r="J809" s="2">
        <v>159823</v>
      </c>
      <c r="K809" s="3">
        <v>0.11</v>
      </c>
      <c r="L809" t="s">
        <v>25</v>
      </c>
      <c r="N809" s="2">
        <f>Employee_Data[[#This Row],[Basic Salary]]*10%</f>
        <v>1331.8583333333336</v>
      </c>
      <c r="O809" s="4">
        <f>Employee_Data[[#This Row],[Basic Salary]]*7.5%</f>
        <v>998.89374999999995</v>
      </c>
      <c r="P809" s="2">
        <f>Employee_Data[[#This Row],[Basic Salary]]*3%</f>
        <v>399.5575</v>
      </c>
      <c r="Q809" s="2">
        <f>SUM(Employee_Data[[#This Row],[Basic Salary]],Employee_Data[[#This Row],[HRA]],Employee_Data[[#This Row],[MA]],Employee_Data[[#This Row],[TA]])</f>
        <v>16048.892916666668</v>
      </c>
      <c r="R809" s="4">
        <f>Employee_Data[[#This Row],[Basic Salary]]*12.5%</f>
        <v>1664.8229166666667</v>
      </c>
      <c r="S809" s="2">
        <f>Employee_Data[[#This Row],[Annual Salary]]/12</f>
        <v>13318.583333333334</v>
      </c>
    </row>
    <row r="810" spans="1:19" x14ac:dyDescent="0.3">
      <c r="A810" t="s">
        <v>1691</v>
      </c>
      <c r="B810" t="s">
        <v>53</v>
      </c>
      <c r="C810" t="s">
        <v>29</v>
      </c>
      <c r="D810" t="s">
        <v>80</v>
      </c>
      <c r="F810" t="s">
        <v>42</v>
      </c>
      <c r="G810" t="s">
        <v>24</v>
      </c>
      <c r="H810">
        <v>45</v>
      </c>
      <c r="I810" s="1">
        <v>37240</v>
      </c>
      <c r="J810" s="2">
        <v>53526</v>
      </c>
      <c r="K810" s="3">
        <v>0</v>
      </c>
      <c r="M810" t="s">
        <v>44</v>
      </c>
      <c r="N810" s="2">
        <f>Employee_Data[[#This Row],[Basic Salary]]*10%</f>
        <v>446.05</v>
      </c>
      <c r="O810" s="4">
        <f>Employee_Data[[#This Row],[Basic Salary]]*7.5%</f>
        <v>334.53749999999997</v>
      </c>
      <c r="P810" s="2">
        <f>Employee_Data[[#This Row],[Basic Salary]]*3%</f>
        <v>133.815</v>
      </c>
      <c r="Q810" s="2">
        <f>SUM(Employee_Data[[#This Row],[Basic Salary]],Employee_Data[[#This Row],[HRA]],Employee_Data[[#This Row],[MA]],Employee_Data[[#This Row],[TA]])</f>
        <v>5374.9025000000001</v>
      </c>
      <c r="R810" s="4">
        <f>Employee_Data[[#This Row],[Basic Salary]]*12.5%</f>
        <v>557.5625</v>
      </c>
      <c r="S810" s="2">
        <f>Employee_Data[[#This Row],[Annual Salary]]/12</f>
        <v>4460.5</v>
      </c>
    </row>
    <row r="811" spans="1:19" x14ac:dyDescent="0.3">
      <c r="A811" t="s">
        <v>1692</v>
      </c>
      <c r="B811" t="s">
        <v>1693</v>
      </c>
      <c r="C811" t="s">
        <v>41</v>
      </c>
      <c r="D811" t="s">
        <v>4</v>
      </c>
      <c r="F811" t="s">
        <v>23</v>
      </c>
      <c r="G811" t="s">
        <v>43</v>
      </c>
      <c r="H811">
        <v>33</v>
      </c>
      <c r="I811" s="1">
        <v>42707</v>
      </c>
      <c r="J811" s="2">
        <v>90084</v>
      </c>
      <c r="K811" s="3">
        <v>0</v>
      </c>
      <c r="M811" t="s">
        <v>26</v>
      </c>
      <c r="N811" s="2">
        <f>Employee_Data[[#This Row],[Basic Salary]]*10%</f>
        <v>750.7</v>
      </c>
      <c r="O811" s="4">
        <f>Employee_Data[[#This Row],[Basic Salary]]*7.5%</f>
        <v>563.02499999999998</v>
      </c>
      <c r="P811" s="2">
        <f>Employee_Data[[#This Row],[Basic Salary]]*3%</f>
        <v>225.20999999999998</v>
      </c>
      <c r="Q811" s="2">
        <f>SUM(Employee_Data[[#This Row],[Basic Salary]],Employee_Data[[#This Row],[HRA]],Employee_Data[[#This Row],[MA]],Employee_Data[[#This Row],[TA]])</f>
        <v>9045.9349999999995</v>
      </c>
      <c r="R811" s="4">
        <f>Employee_Data[[#This Row],[Basic Salary]]*12.5%</f>
        <v>938.375</v>
      </c>
      <c r="S811" s="2">
        <f>Employee_Data[[#This Row],[Annual Salary]]/12</f>
        <v>7507</v>
      </c>
    </row>
    <row r="812" spans="1:19" x14ac:dyDescent="0.3">
      <c r="A812" t="s">
        <v>1694</v>
      </c>
      <c r="B812" t="s">
        <v>1695</v>
      </c>
      <c r="C812" t="s">
        <v>89</v>
      </c>
      <c r="D812" t="s">
        <v>55</v>
      </c>
      <c r="F812" t="s">
        <v>23</v>
      </c>
      <c r="G812" t="s">
        <v>66</v>
      </c>
      <c r="H812">
        <v>41</v>
      </c>
      <c r="I812" s="1">
        <v>40627</v>
      </c>
      <c r="J812" s="2">
        <v>210085</v>
      </c>
      <c r="K812" s="3">
        <v>0.39</v>
      </c>
      <c r="M812" t="s">
        <v>32</v>
      </c>
      <c r="N812" s="2">
        <f>Employee_Data[[#This Row],[Basic Salary]]*10%</f>
        <v>1750.7083333333333</v>
      </c>
      <c r="O812" s="4">
        <f>Employee_Data[[#This Row],[Basic Salary]]*7.5%</f>
        <v>1313.0312499999998</v>
      </c>
      <c r="P812" s="2">
        <f>Employee_Data[[#This Row],[Basic Salary]]*3%</f>
        <v>525.21249999999998</v>
      </c>
      <c r="Q812" s="2">
        <f>SUM(Employee_Data[[#This Row],[Basic Salary]],Employee_Data[[#This Row],[HRA]],Employee_Data[[#This Row],[MA]],Employee_Data[[#This Row],[TA]])</f>
        <v>21096.035416666666</v>
      </c>
      <c r="R812" s="4">
        <f>Employee_Data[[#This Row],[Basic Salary]]*12.5%</f>
        <v>2188.3854166666665</v>
      </c>
      <c r="S812" s="2">
        <f>Employee_Data[[#This Row],[Annual Salary]]/12</f>
        <v>17507.083333333332</v>
      </c>
    </row>
    <row r="813" spans="1:19" x14ac:dyDescent="0.3">
      <c r="A813" t="s">
        <v>1696</v>
      </c>
      <c r="B813" t="s">
        <v>1697</v>
      </c>
      <c r="C813" t="s">
        <v>83</v>
      </c>
      <c r="E813" t="s">
        <v>56</v>
      </c>
      <c r="F813" t="s">
        <v>23</v>
      </c>
      <c r="G813" t="s">
        <v>24</v>
      </c>
      <c r="H813">
        <v>33</v>
      </c>
      <c r="I813" s="1">
        <v>42042</v>
      </c>
      <c r="J813" s="2">
        <v>133908</v>
      </c>
      <c r="K813" s="3">
        <v>0.15</v>
      </c>
      <c r="M813" t="s">
        <v>32</v>
      </c>
      <c r="N813" s="2">
        <f>Employee_Data[[#This Row],[Basic Salary]]*10%</f>
        <v>1115.9000000000001</v>
      </c>
      <c r="O813" s="4">
        <f>Employee_Data[[#This Row],[Basic Salary]]*7.5%</f>
        <v>836.92499999999995</v>
      </c>
      <c r="P813" s="2">
        <f>Employee_Data[[#This Row],[Basic Salary]]*3%</f>
        <v>334.77</v>
      </c>
      <c r="Q813" s="2">
        <f>SUM(Employee_Data[[#This Row],[Basic Salary]],Employee_Data[[#This Row],[HRA]],Employee_Data[[#This Row],[MA]],Employee_Data[[#This Row],[TA]])</f>
        <v>13446.594999999999</v>
      </c>
      <c r="R813" s="4">
        <f>Employee_Data[[#This Row],[Basic Salary]]*12.5%</f>
        <v>1394.875</v>
      </c>
      <c r="S813" s="2">
        <f>Employee_Data[[#This Row],[Annual Salary]]/12</f>
        <v>11159</v>
      </c>
    </row>
    <row r="814" spans="1:19" x14ac:dyDescent="0.3">
      <c r="A814" t="s">
        <v>1698</v>
      </c>
      <c r="B814" t="s">
        <v>1699</v>
      </c>
      <c r="C814" t="s">
        <v>69</v>
      </c>
      <c r="E814" t="s">
        <v>22</v>
      </c>
      <c r="F814" t="s">
        <v>42</v>
      </c>
      <c r="G814" t="s">
        <v>24</v>
      </c>
      <c r="H814">
        <v>48</v>
      </c>
      <c r="I814" s="1">
        <v>41355</v>
      </c>
      <c r="J814" s="2">
        <v>100652</v>
      </c>
      <c r="K814" s="3">
        <v>7.0000000000000007E-2</v>
      </c>
      <c r="M814" t="s">
        <v>70</v>
      </c>
      <c r="N814" s="2">
        <f>Employee_Data[[#This Row],[Basic Salary]]*10%</f>
        <v>838.76666666666665</v>
      </c>
      <c r="O814" s="4">
        <f>Employee_Data[[#This Row],[Basic Salary]]*7.5%</f>
        <v>629.07499999999993</v>
      </c>
      <c r="P814" s="2">
        <f>Employee_Data[[#This Row],[Basic Salary]]*3%</f>
        <v>251.62999999999997</v>
      </c>
      <c r="Q814" s="2">
        <f>SUM(Employee_Data[[#This Row],[Basic Salary]],Employee_Data[[#This Row],[HRA]],Employee_Data[[#This Row],[MA]],Employee_Data[[#This Row],[TA]])</f>
        <v>10107.138333333332</v>
      </c>
      <c r="R814" s="4">
        <f>Employee_Data[[#This Row],[Basic Salary]]*12.5%</f>
        <v>1048.4583333333333</v>
      </c>
      <c r="S814" s="2">
        <f>Employee_Data[[#This Row],[Annual Salary]]/12</f>
        <v>8387.6666666666661</v>
      </c>
    </row>
    <row r="815" spans="1:19" x14ac:dyDescent="0.3">
      <c r="A815" t="s">
        <v>1700</v>
      </c>
      <c r="B815" t="s">
        <v>1701</v>
      </c>
      <c r="C815" t="s">
        <v>89</v>
      </c>
      <c r="D815" t="s">
        <v>126</v>
      </c>
      <c r="E815" t="s">
        <v>31</v>
      </c>
      <c r="F815" t="s">
        <v>42</v>
      </c>
      <c r="G815" t="s">
        <v>43</v>
      </c>
      <c r="H815">
        <v>48</v>
      </c>
      <c r="I815" s="1">
        <v>41481</v>
      </c>
      <c r="J815" s="2">
        <v>225725</v>
      </c>
      <c r="K815" s="3">
        <v>0.37</v>
      </c>
      <c r="M815" t="s">
        <v>51</v>
      </c>
      <c r="N815" s="2">
        <f>Employee_Data[[#This Row],[Basic Salary]]*10%</f>
        <v>1881.041666666667</v>
      </c>
      <c r="O815" s="4">
        <f>Employee_Data[[#This Row],[Basic Salary]]*7.5%</f>
        <v>1410.78125</v>
      </c>
      <c r="P815" s="2">
        <f>Employee_Data[[#This Row],[Basic Salary]]*3%</f>
        <v>564.3125</v>
      </c>
      <c r="Q815" s="2">
        <f>SUM(Employee_Data[[#This Row],[Basic Salary]],Employee_Data[[#This Row],[HRA]],Employee_Data[[#This Row],[MA]],Employee_Data[[#This Row],[TA]])</f>
        <v>22666.552083333336</v>
      </c>
      <c r="R815" s="4">
        <f>Employee_Data[[#This Row],[Basic Salary]]*12.5%</f>
        <v>2351.3020833333335</v>
      </c>
      <c r="S815" s="2">
        <f>Employee_Data[[#This Row],[Annual Salary]]/12</f>
        <v>18810.416666666668</v>
      </c>
    </row>
    <row r="816" spans="1:19" x14ac:dyDescent="0.3">
      <c r="A816" t="s">
        <v>1702</v>
      </c>
      <c r="B816" t="s">
        <v>1703</v>
      </c>
      <c r="C816" t="s">
        <v>89</v>
      </c>
      <c r="D816" t="s">
        <v>126</v>
      </c>
      <c r="E816" t="s">
        <v>56</v>
      </c>
      <c r="F816" t="s">
        <v>42</v>
      </c>
      <c r="G816" t="s">
        <v>66</v>
      </c>
      <c r="H816">
        <v>41</v>
      </c>
      <c r="I816" s="1">
        <v>39212</v>
      </c>
      <c r="J816" s="2">
        <v>224989</v>
      </c>
      <c r="K816" s="3">
        <v>0.33</v>
      </c>
      <c r="M816" t="s">
        <v>44</v>
      </c>
      <c r="N816" s="2">
        <f>Employee_Data[[#This Row],[Basic Salary]]*10%</f>
        <v>1874.9083333333333</v>
      </c>
      <c r="O816" s="4">
        <f>Employee_Data[[#This Row],[Basic Salary]]*7.5%</f>
        <v>1406.1812499999999</v>
      </c>
      <c r="P816" s="2">
        <f>Employee_Data[[#This Row],[Basic Salary]]*3%</f>
        <v>562.47249999999997</v>
      </c>
      <c r="Q816" s="2">
        <f>SUM(Employee_Data[[#This Row],[Basic Salary]],Employee_Data[[#This Row],[HRA]],Employee_Data[[#This Row],[MA]],Employee_Data[[#This Row],[TA]])</f>
        <v>22592.645416666666</v>
      </c>
      <c r="R816" s="4">
        <f>Employee_Data[[#This Row],[Basic Salary]]*12.5%</f>
        <v>2343.6354166666665</v>
      </c>
      <c r="S816" s="2">
        <f>Employee_Data[[#This Row],[Annual Salary]]/12</f>
        <v>18749.083333333332</v>
      </c>
    </row>
    <row r="817" spans="1:19" x14ac:dyDescent="0.3">
      <c r="A817" t="s">
        <v>1704</v>
      </c>
      <c r="B817" t="s">
        <v>1705</v>
      </c>
      <c r="C817" t="s">
        <v>436</v>
      </c>
      <c r="D817" t="s">
        <v>21</v>
      </c>
      <c r="E817" t="s">
        <v>56</v>
      </c>
      <c r="F817" t="s">
        <v>42</v>
      </c>
      <c r="G817" t="s">
        <v>66</v>
      </c>
      <c r="H817">
        <v>37</v>
      </c>
      <c r="I817" s="1">
        <v>44815</v>
      </c>
      <c r="J817" s="2">
        <v>109680</v>
      </c>
      <c r="K817" s="3">
        <v>0</v>
      </c>
      <c r="L817" t="s">
        <v>25</v>
      </c>
      <c r="N817" s="2">
        <f>Employee_Data[[#This Row],[Basic Salary]]*10%</f>
        <v>914</v>
      </c>
      <c r="O817" s="4">
        <f>Employee_Data[[#This Row],[Basic Salary]]*7.5%</f>
        <v>685.5</v>
      </c>
      <c r="P817" s="2">
        <f>Employee_Data[[#This Row],[Basic Salary]]*3%</f>
        <v>274.2</v>
      </c>
      <c r="Q817" s="2">
        <f>SUM(Employee_Data[[#This Row],[Basic Salary]],Employee_Data[[#This Row],[HRA]],Employee_Data[[#This Row],[MA]],Employee_Data[[#This Row],[TA]])</f>
        <v>11013.7</v>
      </c>
      <c r="R817" s="4">
        <f>Employee_Data[[#This Row],[Basic Salary]]*12.5%</f>
        <v>1142.5</v>
      </c>
      <c r="S817" s="2">
        <f>Employee_Data[[#This Row],[Annual Salary]]/12</f>
        <v>9140</v>
      </c>
    </row>
    <row r="818" spans="1:19" x14ac:dyDescent="0.3">
      <c r="A818" t="s">
        <v>1706</v>
      </c>
      <c r="B818" t="s">
        <v>1707</v>
      </c>
      <c r="C818" t="s">
        <v>405</v>
      </c>
      <c r="D818" t="s">
        <v>30</v>
      </c>
      <c r="E818" t="s">
        <v>36</v>
      </c>
      <c r="F818" t="s">
        <v>23</v>
      </c>
      <c r="G818" t="s">
        <v>43</v>
      </c>
      <c r="H818">
        <v>55</v>
      </c>
      <c r="I818" s="1">
        <v>37892</v>
      </c>
      <c r="J818" s="2">
        <v>74216</v>
      </c>
      <c r="K818" s="3">
        <v>0</v>
      </c>
      <c r="L818" t="s">
        <v>137</v>
      </c>
      <c r="M818" t="s">
        <v>289</v>
      </c>
      <c r="N818" s="2">
        <f>Employee_Data[[#This Row],[Basic Salary]]*10%</f>
        <v>618.4666666666667</v>
      </c>
      <c r="O818" s="4">
        <f>Employee_Data[[#This Row],[Basic Salary]]*7.5%</f>
        <v>463.85</v>
      </c>
      <c r="P818" s="2">
        <f>Employee_Data[[#This Row],[Basic Salary]]*3%</f>
        <v>185.54</v>
      </c>
      <c r="Q818" s="2">
        <f>SUM(Employee_Data[[#This Row],[Basic Salary]],Employee_Data[[#This Row],[HRA]],Employee_Data[[#This Row],[MA]],Employee_Data[[#This Row],[TA]])</f>
        <v>7452.5233333333335</v>
      </c>
      <c r="R818" s="4">
        <f>Employee_Data[[#This Row],[Basic Salary]]*12.5%</f>
        <v>773.08333333333337</v>
      </c>
      <c r="S818" s="2">
        <f>Employee_Data[[#This Row],[Annual Salary]]/12</f>
        <v>6184.666666666667</v>
      </c>
    </row>
    <row r="819" spans="1:19" x14ac:dyDescent="0.3">
      <c r="A819" t="s">
        <v>1708</v>
      </c>
      <c r="B819" t="s">
        <v>1709</v>
      </c>
      <c r="C819" t="s">
        <v>83</v>
      </c>
      <c r="D819" t="s">
        <v>80</v>
      </c>
      <c r="E819" t="s">
        <v>31</v>
      </c>
      <c r="F819" t="s">
        <v>42</v>
      </c>
      <c r="G819" t="s">
        <v>24</v>
      </c>
      <c r="H819">
        <v>37</v>
      </c>
      <c r="I819" s="1">
        <v>44320</v>
      </c>
      <c r="J819" s="2">
        <v>151363</v>
      </c>
      <c r="K819" s="3">
        <v>0.12</v>
      </c>
      <c r="L819" t="s">
        <v>25</v>
      </c>
      <c r="M819" t="s">
        <v>70</v>
      </c>
      <c r="N819" s="2">
        <f>Employee_Data[[#This Row],[Basic Salary]]*10%</f>
        <v>1261.3583333333336</v>
      </c>
      <c r="O819" s="4">
        <f>Employee_Data[[#This Row],[Basic Salary]]*7.5%</f>
        <v>946.01874999999995</v>
      </c>
      <c r="P819" s="2">
        <f>Employee_Data[[#This Row],[Basic Salary]]*3%</f>
        <v>378.40750000000003</v>
      </c>
      <c r="Q819" s="2">
        <f>SUM(Employee_Data[[#This Row],[Basic Salary]],Employee_Data[[#This Row],[HRA]],Employee_Data[[#This Row],[MA]],Employee_Data[[#This Row],[TA]])</f>
        <v>15199.367916666666</v>
      </c>
      <c r="R819" s="4">
        <f>Employee_Data[[#This Row],[Basic Salary]]*12.5%</f>
        <v>1576.6979166666667</v>
      </c>
      <c r="S819" s="2">
        <f>Employee_Data[[#This Row],[Annual Salary]]/12</f>
        <v>12613.583333333334</v>
      </c>
    </row>
    <row r="820" spans="1:19" x14ac:dyDescent="0.3">
      <c r="A820" t="s">
        <v>1710</v>
      </c>
      <c r="B820" t="s">
        <v>1711</v>
      </c>
      <c r="C820" t="s">
        <v>247</v>
      </c>
      <c r="D820" t="s">
        <v>126</v>
      </c>
      <c r="E820" t="s">
        <v>36</v>
      </c>
      <c r="F820" t="s">
        <v>42</v>
      </c>
      <c r="G820" t="s">
        <v>43</v>
      </c>
      <c r="H820">
        <v>58</v>
      </c>
      <c r="I820" s="1">
        <v>36554</v>
      </c>
      <c r="J820" s="2">
        <v>62686</v>
      </c>
      <c r="K820" s="3">
        <v>0</v>
      </c>
      <c r="L820" t="s">
        <v>25</v>
      </c>
      <c r="M820" t="s">
        <v>51</v>
      </c>
      <c r="N820" s="2">
        <f>Employee_Data[[#This Row],[Basic Salary]]*10%</f>
        <v>522.38333333333333</v>
      </c>
      <c r="O820" s="4">
        <f>Employee_Data[[#This Row],[Basic Salary]]*7.5%</f>
        <v>391.78749999999997</v>
      </c>
      <c r="P820" s="2">
        <f>Employee_Data[[#This Row],[Basic Salary]]*3%</f>
        <v>156.71499999999997</v>
      </c>
      <c r="Q820" s="2">
        <f>SUM(Employee_Data[[#This Row],[Basic Salary]],Employee_Data[[#This Row],[HRA]],Employee_Data[[#This Row],[MA]],Employee_Data[[#This Row],[TA]])</f>
        <v>6294.7191666666668</v>
      </c>
      <c r="R820" s="4">
        <f>Employee_Data[[#This Row],[Basic Salary]]*12.5%</f>
        <v>652.97916666666663</v>
      </c>
      <c r="S820" s="2">
        <f>Employee_Data[[#This Row],[Annual Salary]]/12</f>
        <v>5223.833333333333</v>
      </c>
    </row>
    <row r="821" spans="1:19" x14ac:dyDescent="0.3">
      <c r="A821" t="s">
        <v>1712</v>
      </c>
      <c r="B821" t="s">
        <v>1713</v>
      </c>
      <c r="C821" t="s">
        <v>47</v>
      </c>
      <c r="D821" t="s">
        <v>126</v>
      </c>
      <c r="E821" t="s">
        <v>36</v>
      </c>
      <c r="F821" t="s">
        <v>42</v>
      </c>
      <c r="G821" t="s">
        <v>84</v>
      </c>
      <c r="H821">
        <v>51</v>
      </c>
      <c r="I821" s="1">
        <v>42016</v>
      </c>
      <c r="J821" s="2">
        <v>178218</v>
      </c>
      <c r="K821" s="3">
        <v>0.27</v>
      </c>
      <c r="L821" t="s">
        <v>25</v>
      </c>
      <c r="M821" t="s">
        <v>70</v>
      </c>
      <c r="N821" s="2">
        <f>Employee_Data[[#This Row],[Basic Salary]]*10%</f>
        <v>1485.15</v>
      </c>
      <c r="O821" s="4">
        <f>Employee_Data[[#This Row],[Basic Salary]]*7.5%</f>
        <v>1113.8625</v>
      </c>
      <c r="P821" s="2">
        <f>Employee_Data[[#This Row],[Basic Salary]]*3%</f>
        <v>445.54499999999996</v>
      </c>
      <c r="Q821" s="2">
        <f>SUM(Employee_Data[[#This Row],[Basic Salary]],Employee_Data[[#This Row],[HRA]],Employee_Data[[#This Row],[MA]],Employee_Data[[#This Row],[TA]])</f>
        <v>17896.057499999999</v>
      </c>
      <c r="R821" s="4">
        <f>Employee_Data[[#This Row],[Basic Salary]]*12.5%</f>
        <v>1856.4375</v>
      </c>
      <c r="S821" s="2">
        <f>Employee_Data[[#This Row],[Annual Salary]]/12</f>
        <v>14851.5</v>
      </c>
    </row>
    <row r="822" spans="1:19" x14ac:dyDescent="0.3">
      <c r="B822" t="s">
        <v>1714</v>
      </c>
      <c r="C822" t="s">
        <v>134</v>
      </c>
      <c r="D822" t="s">
        <v>21</v>
      </c>
      <c r="E822" t="s">
        <v>31</v>
      </c>
      <c r="F822" t="s">
        <v>42</v>
      </c>
      <c r="G822" t="s">
        <v>24</v>
      </c>
      <c r="H822">
        <v>37</v>
      </c>
      <c r="I822" s="1">
        <v>41573</v>
      </c>
      <c r="J822" s="2">
        <v>69125</v>
      </c>
      <c r="K822" s="3">
        <v>0</v>
      </c>
      <c r="L822" t="s">
        <v>25</v>
      </c>
      <c r="M822" t="s">
        <v>48</v>
      </c>
      <c r="N822" s="2">
        <f>Employee_Data[[#This Row],[Basic Salary]]*10%</f>
        <v>576.04166666666674</v>
      </c>
      <c r="O822" s="4">
        <f>Employee_Data[[#This Row],[Basic Salary]]*7.5%</f>
        <v>432.03125</v>
      </c>
      <c r="P822" s="2">
        <f>Employee_Data[[#This Row],[Basic Salary]]*3%</f>
        <v>172.8125</v>
      </c>
      <c r="Q822" s="2">
        <f>SUM(Employee_Data[[#This Row],[Basic Salary]],Employee_Data[[#This Row],[HRA]],Employee_Data[[#This Row],[MA]],Employee_Data[[#This Row],[TA]])</f>
        <v>6941.3020833333339</v>
      </c>
      <c r="R822" s="4">
        <f>Employee_Data[[#This Row],[Basic Salary]]*12.5%</f>
        <v>720.05208333333337</v>
      </c>
      <c r="S822" s="2">
        <f>Employee_Data[[#This Row],[Annual Salary]]/12</f>
        <v>5760.416666666667</v>
      </c>
    </row>
    <row r="823" spans="1:19" x14ac:dyDescent="0.3">
      <c r="A823" t="s">
        <v>1715</v>
      </c>
      <c r="D823" t="s">
        <v>61</v>
      </c>
      <c r="E823" t="s">
        <v>56</v>
      </c>
      <c r="F823" t="s">
        <v>42</v>
      </c>
      <c r="G823" t="s">
        <v>24</v>
      </c>
      <c r="H823">
        <v>43</v>
      </c>
      <c r="I823" s="1">
        <v>38724</v>
      </c>
      <c r="J823" s="2">
        <v>161376</v>
      </c>
      <c r="K823" s="3">
        <v>0.24</v>
      </c>
      <c r="L823" t="s">
        <v>37</v>
      </c>
      <c r="M823" t="s">
        <v>111</v>
      </c>
      <c r="N823" s="2">
        <f>Employee_Data[[#This Row],[Basic Salary]]*10%</f>
        <v>1344.8000000000002</v>
      </c>
      <c r="O823" s="4">
        <f>Employee_Data[[#This Row],[Basic Salary]]*7.5%</f>
        <v>1008.5999999999999</v>
      </c>
      <c r="P823" s="2">
        <f>Employee_Data[[#This Row],[Basic Salary]]*3%</f>
        <v>403.44</v>
      </c>
      <c r="Q823" s="2">
        <f>SUM(Employee_Data[[#This Row],[Basic Salary]],Employee_Data[[#This Row],[HRA]],Employee_Data[[#This Row],[MA]],Employee_Data[[#This Row],[TA]])</f>
        <v>16204.84</v>
      </c>
      <c r="R823" s="4">
        <f>Employee_Data[[#This Row],[Basic Salary]]*12.5%</f>
        <v>1681</v>
      </c>
      <c r="S823" s="2">
        <f>Employee_Data[[#This Row],[Annual Salary]]/12</f>
        <v>13448</v>
      </c>
    </row>
    <row r="824" spans="1:19" x14ac:dyDescent="0.3">
      <c r="A824" t="s">
        <v>1716</v>
      </c>
      <c r="B824" t="s">
        <v>1717</v>
      </c>
      <c r="C824" t="s">
        <v>104</v>
      </c>
      <c r="E824" t="s">
        <v>36</v>
      </c>
      <c r="F824" t="s">
        <v>42</v>
      </c>
      <c r="G824" t="s">
        <v>66</v>
      </c>
      <c r="H824">
        <v>26</v>
      </c>
      <c r="I824" s="1">
        <v>44728</v>
      </c>
      <c r="J824" s="2">
        <v>59436</v>
      </c>
      <c r="K824" s="3">
        <v>0</v>
      </c>
      <c r="L824" t="s">
        <v>25</v>
      </c>
      <c r="M824" t="s">
        <v>26</v>
      </c>
      <c r="N824" s="2">
        <f>Employee_Data[[#This Row],[Basic Salary]]*10%</f>
        <v>495.3</v>
      </c>
      <c r="O824" s="4">
        <f>Employee_Data[[#This Row],[Basic Salary]]*7.5%</f>
        <v>371.47499999999997</v>
      </c>
      <c r="P824" s="2">
        <f>Employee_Data[[#This Row],[Basic Salary]]*3%</f>
        <v>148.59</v>
      </c>
      <c r="Q824" s="2">
        <f>SUM(Employee_Data[[#This Row],[Basic Salary]],Employee_Data[[#This Row],[HRA]],Employee_Data[[#This Row],[MA]],Employee_Data[[#This Row],[TA]])</f>
        <v>5968.3650000000007</v>
      </c>
      <c r="R824" s="4">
        <f>Employee_Data[[#This Row],[Basic Salary]]*12.5%</f>
        <v>619.125</v>
      </c>
      <c r="S824" s="2">
        <f>Employee_Data[[#This Row],[Annual Salary]]/12</f>
        <v>4953</v>
      </c>
    </row>
    <row r="825" spans="1:19" x14ac:dyDescent="0.3">
      <c r="A825" t="s">
        <v>1718</v>
      </c>
      <c r="B825" t="s">
        <v>1719</v>
      </c>
      <c r="C825" t="s">
        <v>104</v>
      </c>
      <c r="D825" t="s">
        <v>30</v>
      </c>
      <c r="F825" t="s">
        <v>23</v>
      </c>
      <c r="G825" t="s">
        <v>66</v>
      </c>
      <c r="H825">
        <v>35</v>
      </c>
      <c r="I825" s="1">
        <v>42606</v>
      </c>
      <c r="J825" s="2">
        <v>58733</v>
      </c>
      <c r="K825" s="3">
        <v>0</v>
      </c>
      <c r="L825" t="s">
        <v>25</v>
      </c>
      <c r="M825" t="s">
        <v>70</v>
      </c>
      <c r="N825" s="2">
        <f>Employee_Data[[#This Row],[Basic Salary]]*10%</f>
        <v>489.44166666666672</v>
      </c>
      <c r="O825" s="4">
        <f>Employee_Data[[#This Row],[Basic Salary]]*7.5%</f>
        <v>367.08125000000001</v>
      </c>
      <c r="P825" s="2">
        <f>Employee_Data[[#This Row],[Basic Salary]]*3%</f>
        <v>146.83250000000001</v>
      </c>
      <c r="Q825" s="2">
        <f>SUM(Employee_Data[[#This Row],[Basic Salary]],Employee_Data[[#This Row],[HRA]],Employee_Data[[#This Row],[MA]],Employee_Data[[#This Row],[TA]])</f>
        <v>5897.7720833333342</v>
      </c>
      <c r="R825" s="4">
        <f>Employee_Data[[#This Row],[Basic Salary]]*12.5%</f>
        <v>611.80208333333337</v>
      </c>
      <c r="S825" s="2">
        <f>Employee_Data[[#This Row],[Annual Salary]]/12</f>
        <v>4894.416666666667</v>
      </c>
    </row>
    <row r="826" spans="1:19" x14ac:dyDescent="0.3">
      <c r="A826" t="s">
        <v>1720</v>
      </c>
      <c r="B826" t="s">
        <v>1721</v>
      </c>
      <c r="C826" t="s">
        <v>54</v>
      </c>
      <c r="E826" t="s">
        <v>31</v>
      </c>
      <c r="F826" t="s">
        <v>23</v>
      </c>
      <c r="G826" t="s">
        <v>24</v>
      </c>
      <c r="H826">
        <v>61</v>
      </c>
      <c r="I826" s="1">
        <v>35717</v>
      </c>
      <c r="J826" s="2">
        <v>88681</v>
      </c>
      <c r="K826" s="3">
        <v>0</v>
      </c>
      <c r="L826" t="s">
        <v>37</v>
      </c>
      <c r="M826" t="s">
        <v>38</v>
      </c>
      <c r="N826" s="2">
        <f>Employee_Data[[#This Row],[Basic Salary]]*10%</f>
        <v>739.00833333333333</v>
      </c>
      <c r="O826" s="4">
        <f>Employee_Data[[#This Row],[Basic Salary]]*7.5%</f>
        <v>554.25624999999991</v>
      </c>
      <c r="P826" s="2">
        <f>Employee_Data[[#This Row],[Basic Salary]]*3%</f>
        <v>221.70249999999999</v>
      </c>
      <c r="Q826" s="2">
        <f>SUM(Employee_Data[[#This Row],[Basic Salary]],Employee_Data[[#This Row],[HRA]],Employee_Data[[#This Row],[MA]],Employee_Data[[#This Row],[TA]])</f>
        <v>8905.0504166666651</v>
      </c>
      <c r="R826" s="4">
        <f>Employee_Data[[#This Row],[Basic Salary]]*12.5%</f>
        <v>923.76041666666663</v>
      </c>
      <c r="S826" s="2">
        <f>Employee_Data[[#This Row],[Annual Salary]]/12</f>
        <v>7390.083333333333</v>
      </c>
    </row>
    <row r="827" spans="1:19" x14ac:dyDescent="0.3">
      <c r="A827" t="s">
        <v>1722</v>
      </c>
      <c r="B827" t="s">
        <v>1723</v>
      </c>
      <c r="D827" t="s">
        <v>61</v>
      </c>
      <c r="E827" t="s">
        <v>56</v>
      </c>
      <c r="F827" t="s">
        <v>23</v>
      </c>
      <c r="G827" t="s">
        <v>24</v>
      </c>
      <c r="H827">
        <v>59</v>
      </c>
      <c r="I827" s="1">
        <v>39487</v>
      </c>
      <c r="J827" s="2">
        <v>186854</v>
      </c>
      <c r="K827" s="3">
        <v>0.3</v>
      </c>
      <c r="L827" t="s">
        <v>25</v>
      </c>
      <c r="M827" t="s">
        <v>51</v>
      </c>
      <c r="N827" s="2">
        <f>Employee_Data[[#This Row],[Basic Salary]]*10%</f>
        <v>1557.1166666666668</v>
      </c>
      <c r="O827" s="4">
        <f>Employee_Data[[#This Row],[Basic Salary]]*7.5%</f>
        <v>1167.8374999999999</v>
      </c>
      <c r="P827" s="2">
        <f>Employee_Data[[#This Row],[Basic Salary]]*3%</f>
        <v>467.13499999999999</v>
      </c>
      <c r="Q827" s="2">
        <f>SUM(Employee_Data[[#This Row],[Basic Salary]],Employee_Data[[#This Row],[HRA]],Employee_Data[[#This Row],[MA]],Employee_Data[[#This Row],[TA]])</f>
        <v>18763.255833333333</v>
      </c>
      <c r="R827" s="4">
        <f>Employee_Data[[#This Row],[Basic Salary]]*12.5%</f>
        <v>1946.3958333333333</v>
      </c>
      <c r="S827" s="2">
        <f>Employee_Data[[#This Row],[Annual Salary]]/12</f>
        <v>15571.166666666666</v>
      </c>
    </row>
    <row r="828" spans="1:19" x14ac:dyDescent="0.3">
      <c r="A828" t="s">
        <v>1724</v>
      </c>
      <c r="C828" t="s">
        <v>54</v>
      </c>
      <c r="D828" t="s">
        <v>61</v>
      </c>
      <c r="E828" t="s">
        <v>22</v>
      </c>
      <c r="F828" t="s">
        <v>42</v>
      </c>
      <c r="G828" t="s">
        <v>24</v>
      </c>
      <c r="H828">
        <v>65</v>
      </c>
      <c r="I828" s="1">
        <v>35621</v>
      </c>
      <c r="J828" s="2">
        <v>96897</v>
      </c>
      <c r="K828" s="3">
        <v>0</v>
      </c>
      <c r="L828" t="s">
        <v>37</v>
      </c>
      <c r="M828" t="s">
        <v>62</v>
      </c>
      <c r="N828" s="2">
        <f>Employee_Data[[#This Row],[Basic Salary]]*10%</f>
        <v>807.47500000000002</v>
      </c>
      <c r="O828" s="4">
        <f>Employee_Data[[#This Row],[Basic Salary]]*7.5%</f>
        <v>605.60624999999993</v>
      </c>
      <c r="P828" s="2">
        <f>Employee_Data[[#This Row],[Basic Salary]]*3%</f>
        <v>242.24249999999998</v>
      </c>
      <c r="Q828" s="2">
        <f>SUM(Employee_Data[[#This Row],[Basic Salary]],Employee_Data[[#This Row],[HRA]],Employee_Data[[#This Row],[MA]],Employee_Data[[#This Row],[TA]])</f>
        <v>9730.0737500000014</v>
      </c>
      <c r="R828" s="4">
        <f>Employee_Data[[#This Row],[Basic Salary]]*12.5%</f>
        <v>1009.34375</v>
      </c>
      <c r="S828" s="2">
        <f>Employee_Data[[#This Row],[Annual Salary]]/12</f>
        <v>8074.75</v>
      </c>
    </row>
    <row r="829" spans="1:19" x14ac:dyDescent="0.3">
      <c r="A829" t="s">
        <v>1725</v>
      </c>
      <c r="B829" t="s">
        <v>1726</v>
      </c>
      <c r="C829" t="s">
        <v>69</v>
      </c>
      <c r="D829" t="s">
        <v>126</v>
      </c>
      <c r="E829" t="s">
        <v>31</v>
      </c>
      <c r="F829" t="s">
        <v>42</v>
      </c>
      <c r="G829" t="s">
        <v>66</v>
      </c>
      <c r="H829">
        <v>55</v>
      </c>
      <c r="I829" s="1">
        <v>38369</v>
      </c>
      <c r="J829" s="2">
        <v>128954</v>
      </c>
      <c r="K829" s="3">
        <v>0.05</v>
      </c>
      <c r="L829" t="s">
        <v>25</v>
      </c>
      <c r="M829" t="s">
        <v>51</v>
      </c>
      <c r="N829" s="2">
        <f>Employee_Data[[#This Row],[Basic Salary]]*10%</f>
        <v>1074.6166666666666</v>
      </c>
      <c r="O829" s="4">
        <f>Employee_Data[[#This Row],[Basic Salary]]*7.5%</f>
        <v>805.96249999999998</v>
      </c>
      <c r="P829" s="2">
        <f>Employee_Data[[#This Row],[Basic Salary]]*3%</f>
        <v>322.38499999999999</v>
      </c>
      <c r="Q829" s="2">
        <f>SUM(Employee_Data[[#This Row],[Basic Salary]],Employee_Data[[#This Row],[HRA]],Employee_Data[[#This Row],[MA]],Employee_Data[[#This Row],[TA]])</f>
        <v>12949.130833333333</v>
      </c>
      <c r="R829" s="4">
        <f>Employee_Data[[#This Row],[Basic Salary]]*12.5%</f>
        <v>1343.2708333333333</v>
      </c>
      <c r="S829" s="2">
        <f>Employee_Data[[#This Row],[Annual Salary]]/12</f>
        <v>10746.166666666666</v>
      </c>
    </row>
    <row r="830" spans="1:19" x14ac:dyDescent="0.3">
      <c r="A830" t="s">
        <v>1727</v>
      </c>
      <c r="C830" t="s">
        <v>104</v>
      </c>
      <c r="D830" t="s">
        <v>30</v>
      </c>
      <c r="E830" t="s">
        <v>56</v>
      </c>
      <c r="F830" t="s">
        <v>23</v>
      </c>
      <c r="G830" t="s">
        <v>24</v>
      </c>
      <c r="H830">
        <v>51</v>
      </c>
      <c r="I830" s="1">
        <v>36302</v>
      </c>
      <c r="J830" s="2">
        <v>67418</v>
      </c>
      <c r="K830" s="3">
        <v>0</v>
      </c>
      <c r="L830" t="s">
        <v>37</v>
      </c>
      <c r="M830" t="s">
        <v>38</v>
      </c>
      <c r="N830" s="2">
        <f>Employee_Data[[#This Row],[Basic Salary]]*10%</f>
        <v>561.81666666666672</v>
      </c>
      <c r="O830" s="4">
        <f>Employee_Data[[#This Row],[Basic Salary]]*7.5%</f>
        <v>421.36250000000001</v>
      </c>
      <c r="P830" s="2">
        <f>Employee_Data[[#This Row],[Basic Salary]]*3%</f>
        <v>168.54500000000002</v>
      </c>
      <c r="Q830" s="2">
        <f>SUM(Employee_Data[[#This Row],[Basic Salary]],Employee_Data[[#This Row],[HRA]],Employee_Data[[#This Row],[MA]],Employee_Data[[#This Row],[TA]])</f>
        <v>6769.8908333333338</v>
      </c>
      <c r="R830" s="4">
        <f>Employee_Data[[#This Row],[Basic Salary]]*12.5%</f>
        <v>702.27083333333337</v>
      </c>
      <c r="S830" s="2">
        <f>Employee_Data[[#This Row],[Annual Salary]]/12</f>
        <v>5618.166666666667</v>
      </c>
    </row>
    <row r="831" spans="1:19" x14ac:dyDescent="0.3">
      <c r="C831" t="s">
        <v>69</v>
      </c>
      <c r="D831" t="s">
        <v>55</v>
      </c>
      <c r="E831" t="s">
        <v>56</v>
      </c>
      <c r="F831" t="s">
        <v>23</v>
      </c>
      <c r="G831" t="s">
        <v>66</v>
      </c>
      <c r="H831">
        <v>53</v>
      </c>
      <c r="I831" s="1">
        <v>41861</v>
      </c>
      <c r="J831" s="2">
        <v>125545</v>
      </c>
      <c r="K831" s="3">
        <v>0.06</v>
      </c>
      <c r="L831" t="s">
        <v>25</v>
      </c>
      <c r="M831" t="s">
        <v>48</v>
      </c>
      <c r="N831" s="2">
        <f>Employee_Data[[#This Row],[Basic Salary]]*10%</f>
        <v>1046.2083333333335</v>
      </c>
      <c r="O831" s="4">
        <f>Employee_Data[[#This Row],[Basic Salary]]*7.5%</f>
        <v>784.65625</v>
      </c>
      <c r="P831" s="2">
        <f>Employee_Data[[#This Row],[Basic Salary]]*3%</f>
        <v>313.86250000000001</v>
      </c>
      <c r="Q831" s="2">
        <f>SUM(Employee_Data[[#This Row],[Basic Salary]],Employee_Data[[#This Row],[HRA]],Employee_Data[[#This Row],[MA]],Employee_Data[[#This Row],[TA]])</f>
        <v>12606.810416666667</v>
      </c>
      <c r="R831" s="4">
        <f>Employee_Data[[#This Row],[Basic Salary]]*12.5%</f>
        <v>1307.7604166666667</v>
      </c>
      <c r="S831" s="2">
        <f>Employee_Data[[#This Row],[Annual Salary]]/12</f>
        <v>10462.083333333334</v>
      </c>
    </row>
    <row r="832" spans="1:19" x14ac:dyDescent="0.3">
      <c r="A832" t="s">
        <v>1728</v>
      </c>
      <c r="B832" t="s">
        <v>1729</v>
      </c>
      <c r="D832" t="s">
        <v>4</v>
      </c>
      <c r="E832" t="s">
        <v>36</v>
      </c>
      <c r="F832" t="s">
        <v>42</v>
      </c>
      <c r="G832" t="s">
        <v>43</v>
      </c>
      <c r="H832">
        <v>47</v>
      </c>
      <c r="I832" s="1">
        <v>36552</v>
      </c>
      <c r="J832" s="2">
        <v>125641</v>
      </c>
      <c r="K832" s="3">
        <v>0.05</v>
      </c>
      <c r="L832" t="s">
        <v>25</v>
      </c>
      <c r="M832" t="s">
        <v>44</v>
      </c>
      <c r="N832" s="2">
        <f>Employee_Data[[#This Row],[Basic Salary]]*10%</f>
        <v>1047.0083333333334</v>
      </c>
      <c r="O832" s="4">
        <f>Employee_Data[[#This Row],[Basic Salary]]*7.5%</f>
        <v>785.25625000000002</v>
      </c>
      <c r="P832" s="2">
        <f>Employee_Data[[#This Row],[Basic Salary]]*3%</f>
        <v>314.10250000000002</v>
      </c>
      <c r="Q832" s="2">
        <f>SUM(Employee_Data[[#This Row],[Basic Salary]],Employee_Data[[#This Row],[HRA]],Employee_Data[[#This Row],[MA]],Employee_Data[[#This Row],[TA]])</f>
        <v>12616.450416666668</v>
      </c>
      <c r="R832" s="4">
        <f>Employee_Data[[#This Row],[Basic Salary]]*12.5%</f>
        <v>1308.7604166666667</v>
      </c>
      <c r="S832" s="2">
        <f>Employee_Data[[#This Row],[Annual Salary]]/12</f>
        <v>10470.083333333334</v>
      </c>
    </row>
    <row r="833" spans="1:19" x14ac:dyDescent="0.3">
      <c r="A833" t="s">
        <v>1730</v>
      </c>
      <c r="B833" t="s">
        <v>1731</v>
      </c>
      <c r="C833" t="s">
        <v>69</v>
      </c>
      <c r="E833" t="s">
        <v>31</v>
      </c>
      <c r="F833" t="s">
        <v>23</v>
      </c>
      <c r="G833" t="s">
        <v>24</v>
      </c>
      <c r="H833">
        <v>53</v>
      </c>
      <c r="I833" s="1">
        <v>34311</v>
      </c>
      <c r="J833" s="2">
        <v>100666</v>
      </c>
      <c r="K833" s="3">
        <v>0.1</v>
      </c>
      <c r="L833" t="s">
        <v>37</v>
      </c>
      <c r="M833" t="s">
        <v>111</v>
      </c>
      <c r="N833" s="2">
        <f>Employee_Data[[#This Row],[Basic Salary]]*10%</f>
        <v>838.88333333333344</v>
      </c>
      <c r="O833" s="4">
        <f>Employee_Data[[#This Row],[Basic Salary]]*7.5%</f>
        <v>629.16250000000002</v>
      </c>
      <c r="P833" s="2">
        <f>Employee_Data[[#This Row],[Basic Salary]]*3%</f>
        <v>251.66500000000002</v>
      </c>
      <c r="Q833" s="2">
        <f>SUM(Employee_Data[[#This Row],[Basic Salary]],Employee_Data[[#This Row],[HRA]],Employee_Data[[#This Row],[MA]],Employee_Data[[#This Row],[TA]])</f>
        <v>10108.544166666668</v>
      </c>
      <c r="R833" s="4">
        <f>Employee_Data[[#This Row],[Basic Salary]]*12.5%</f>
        <v>1048.6041666666667</v>
      </c>
      <c r="S833" s="2">
        <f>Employee_Data[[#This Row],[Annual Salary]]/12</f>
        <v>8388.8333333333339</v>
      </c>
    </row>
    <row r="834" spans="1:19" x14ac:dyDescent="0.3">
      <c r="A834" t="s">
        <v>1732</v>
      </c>
      <c r="B834" t="s">
        <v>1733</v>
      </c>
      <c r="C834" t="s">
        <v>247</v>
      </c>
      <c r="D834" t="s">
        <v>126</v>
      </c>
      <c r="F834" t="s">
        <v>23</v>
      </c>
      <c r="G834" t="s">
        <v>24</v>
      </c>
      <c r="H834">
        <v>38</v>
      </c>
      <c r="I834" s="1">
        <v>40190</v>
      </c>
      <c r="J834" s="2">
        <v>71235</v>
      </c>
      <c r="K834" s="3">
        <v>0</v>
      </c>
      <c r="L834" t="s">
        <v>37</v>
      </c>
      <c r="M834" t="s">
        <v>57</v>
      </c>
      <c r="N834" s="2">
        <f>Employee_Data[[#This Row],[Basic Salary]]*10%</f>
        <v>593.625</v>
      </c>
      <c r="O834" s="4">
        <f>Employee_Data[[#This Row],[Basic Salary]]*7.5%</f>
        <v>445.21875</v>
      </c>
      <c r="P834" s="2">
        <f>Employee_Data[[#This Row],[Basic Salary]]*3%</f>
        <v>178.08750000000001</v>
      </c>
      <c r="Q834" s="2">
        <f>SUM(Employee_Data[[#This Row],[Basic Salary]],Employee_Data[[#This Row],[HRA]],Employee_Data[[#This Row],[MA]],Employee_Data[[#This Row],[TA]])</f>
        <v>7153.1812499999996</v>
      </c>
      <c r="R834" s="4">
        <f>Employee_Data[[#This Row],[Basic Salary]]*12.5%</f>
        <v>742.03125</v>
      </c>
      <c r="S834" s="2">
        <f>Employee_Data[[#This Row],[Annual Salary]]/12</f>
        <v>5936.25</v>
      </c>
    </row>
    <row r="835" spans="1:19" x14ac:dyDescent="0.3">
      <c r="A835" t="s">
        <v>1734</v>
      </c>
      <c r="B835" t="s">
        <v>1735</v>
      </c>
      <c r="C835" t="s">
        <v>232</v>
      </c>
      <c r="E835" t="s">
        <v>31</v>
      </c>
      <c r="G835" t="s">
        <v>24</v>
      </c>
      <c r="H835">
        <v>28</v>
      </c>
      <c r="I835" s="1">
        <v>44211</v>
      </c>
      <c r="J835" s="2">
        <v>83235</v>
      </c>
      <c r="K835" s="3">
        <v>0</v>
      </c>
      <c r="L835" t="s">
        <v>25</v>
      </c>
      <c r="M835" t="s">
        <v>48</v>
      </c>
      <c r="N835" s="2">
        <f>Employee_Data[[#This Row],[Basic Salary]]*10%</f>
        <v>693.625</v>
      </c>
      <c r="O835" s="4">
        <f>Employee_Data[[#This Row],[Basic Salary]]*7.5%</f>
        <v>520.21875</v>
      </c>
      <c r="P835" s="2">
        <f>Employee_Data[[#This Row],[Basic Salary]]*3%</f>
        <v>208.08750000000001</v>
      </c>
      <c r="Q835" s="2">
        <f>SUM(Employee_Data[[#This Row],[Basic Salary]],Employee_Data[[#This Row],[HRA]],Employee_Data[[#This Row],[MA]],Employee_Data[[#This Row],[TA]])</f>
        <v>8358.1812499999996</v>
      </c>
      <c r="R835" s="4">
        <f>Employee_Data[[#This Row],[Basic Salary]]*12.5%</f>
        <v>867.03125</v>
      </c>
      <c r="S835" s="2">
        <f>Employee_Data[[#This Row],[Annual Salary]]/12</f>
        <v>6936.25</v>
      </c>
    </row>
    <row r="836" spans="1:19" x14ac:dyDescent="0.3">
      <c r="A836" t="s">
        <v>1736</v>
      </c>
      <c r="B836" t="s">
        <v>1737</v>
      </c>
      <c r="D836" t="s">
        <v>30</v>
      </c>
      <c r="E836" t="s">
        <v>31</v>
      </c>
      <c r="F836" t="s">
        <v>42</v>
      </c>
      <c r="H836">
        <v>32</v>
      </c>
      <c r="I836" s="1">
        <v>41890</v>
      </c>
      <c r="J836" s="2">
        <v>42075</v>
      </c>
      <c r="K836" s="3">
        <v>0</v>
      </c>
      <c r="L836" t="s">
        <v>137</v>
      </c>
      <c r="M836" t="s">
        <v>138</v>
      </c>
      <c r="N836" s="2">
        <f>Employee_Data[[#This Row],[Basic Salary]]*10%</f>
        <v>350.625</v>
      </c>
      <c r="O836" s="4">
        <f>Employee_Data[[#This Row],[Basic Salary]]*7.5%</f>
        <v>262.96875</v>
      </c>
      <c r="P836" s="2">
        <f>Employee_Data[[#This Row],[Basic Salary]]*3%</f>
        <v>105.1875</v>
      </c>
      <c r="Q836" s="2">
        <f>SUM(Employee_Data[[#This Row],[Basic Salary]],Employee_Data[[#This Row],[HRA]],Employee_Data[[#This Row],[MA]],Employee_Data[[#This Row],[TA]])</f>
        <v>4225.03125</v>
      </c>
      <c r="R836" s="4">
        <f>Employee_Data[[#This Row],[Basic Salary]]*12.5%</f>
        <v>438.28125</v>
      </c>
      <c r="S836" s="2">
        <f>Employee_Data[[#This Row],[Annual Salary]]/12</f>
        <v>3506.25</v>
      </c>
    </row>
    <row r="837" spans="1:19" x14ac:dyDescent="0.3">
      <c r="A837" t="s">
        <v>1738</v>
      </c>
      <c r="C837" t="s">
        <v>73</v>
      </c>
      <c r="D837" t="s">
        <v>4</v>
      </c>
      <c r="E837" t="s">
        <v>56</v>
      </c>
      <c r="G837" t="s">
        <v>24</v>
      </c>
      <c r="H837">
        <v>52</v>
      </c>
      <c r="I837" s="1">
        <v>44857</v>
      </c>
      <c r="J837" s="2">
        <v>55020</v>
      </c>
      <c r="K837" s="3">
        <v>0</v>
      </c>
      <c r="L837" t="s">
        <v>37</v>
      </c>
      <c r="M837" t="s">
        <v>57</v>
      </c>
      <c r="N837" s="2">
        <f>Employee_Data[[#This Row],[Basic Salary]]*10%</f>
        <v>458.5</v>
      </c>
      <c r="O837" s="4">
        <f>Employee_Data[[#This Row],[Basic Salary]]*7.5%</f>
        <v>343.875</v>
      </c>
      <c r="P837" s="2">
        <f>Employee_Data[[#This Row],[Basic Salary]]*3%</f>
        <v>137.54999999999998</v>
      </c>
      <c r="Q837" s="2">
        <f>SUM(Employee_Data[[#This Row],[Basic Salary]],Employee_Data[[#This Row],[HRA]],Employee_Data[[#This Row],[MA]],Employee_Data[[#This Row],[TA]])</f>
        <v>5524.9250000000002</v>
      </c>
      <c r="R837" s="4">
        <f>Employee_Data[[#This Row],[Basic Salary]]*12.5%</f>
        <v>573.125</v>
      </c>
      <c r="S837" s="2">
        <f>Employee_Data[[#This Row],[Annual Salary]]/12</f>
        <v>4585</v>
      </c>
    </row>
    <row r="838" spans="1:19" x14ac:dyDescent="0.3">
      <c r="A838" t="s">
        <v>1739</v>
      </c>
      <c r="B838" t="s">
        <v>1740</v>
      </c>
      <c r="D838" t="s">
        <v>80</v>
      </c>
      <c r="F838" t="s">
        <v>42</v>
      </c>
      <c r="G838" t="s">
        <v>66</v>
      </c>
      <c r="H838">
        <v>64</v>
      </c>
      <c r="I838" s="1">
        <v>37754</v>
      </c>
      <c r="J838" s="2">
        <v>76506</v>
      </c>
      <c r="K838" s="3">
        <v>0</v>
      </c>
      <c r="L838" t="s">
        <v>25</v>
      </c>
      <c r="M838" t="s">
        <v>48</v>
      </c>
      <c r="N838" s="2">
        <f>Employee_Data[[#This Row],[Basic Salary]]*10%</f>
        <v>637.55000000000007</v>
      </c>
      <c r="O838" s="4">
        <f>Employee_Data[[#This Row],[Basic Salary]]*7.5%</f>
        <v>478.16249999999997</v>
      </c>
      <c r="P838" s="2">
        <f>Employee_Data[[#This Row],[Basic Salary]]*3%</f>
        <v>191.26499999999999</v>
      </c>
      <c r="Q838" s="2">
        <f>SUM(Employee_Data[[#This Row],[Basic Salary]],Employee_Data[[#This Row],[HRA]],Employee_Data[[#This Row],[MA]],Employee_Data[[#This Row],[TA]])</f>
        <v>7682.4775000000009</v>
      </c>
      <c r="R838" s="4">
        <f>Employee_Data[[#This Row],[Basic Salary]]*12.5%</f>
        <v>796.9375</v>
      </c>
      <c r="S838" s="2">
        <f>Employee_Data[[#This Row],[Annual Salary]]/12</f>
        <v>6375.5</v>
      </c>
    </row>
    <row r="839" spans="1:19" x14ac:dyDescent="0.3">
      <c r="A839" t="s">
        <v>1741</v>
      </c>
      <c r="B839" t="s">
        <v>1428</v>
      </c>
      <c r="E839" t="s">
        <v>22</v>
      </c>
      <c r="F839" t="s">
        <v>23</v>
      </c>
      <c r="G839" t="s">
        <v>24</v>
      </c>
      <c r="H839">
        <v>55</v>
      </c>
      <c r="I839" s="1">
        <v>39144</v>
      </c>
      <c r="J839" s="2">
        <v>100051</v>
      </c>
      <c r="K839" s="3">
        <v>7.0000000000000007E-2</v>
      </c>
      <c r="L839" t="s">
        <v>37</v>
      </c>
      <c r="M839" t="s">
        <v>62</v>
      </c>
      <c r="N839" s="2">
        <f>Employee_Data[[#This Row],[Basic Salary]]*10%</f>
        <v>833.75833333333344</v>
      </c>
      <c r="O839" s="4">
        <f>Employee_Data[[#This Row],[Basic Salary]]*7.5%</f>
        <v>625.31875000000002</v>
      </c>
      <c r="P839" s="2">
        <f>Employee_Data[[#This Row],[Basic Salary]]*3%</f>
        <v>250.1275</v>
      </c>
      <c r="Q839" s="2">
        <f>SUM(Employee_Data[[#This Row],[Basic Salary]],Employee_Data[[#This Row],[HRA]],Employee_Data[[#This Row],[MA]],Employee_Data[[#This Row],[TA]])</f>
        <v>10046.787916666668</v>
      </c>
      <c r="R839" s="4">
        <f>Employee_Data[[#This Row],[Basic Salary]]*12.5%</f>
        <v>1042.1979166666667</v>
      </c>
      <c r="S839" s="2">
        <f>Employee_Data[[#This Row],[Annual Salary]]/12</f>
        <v>8337.5833333333339</v>
      </c>
    </row>
    <row r="840" spans="1:19" x14ac:dyDescent="0.3">
      <c r="A840" t="s">
        <v>1742</v>
      </c>
      <c r="B840" t="s">
        <v>1743</v>
      </c>
      <c r="D840" t="s">
        <v>61</v>
      </c>
      <c r="E840" t="s">
        <v>31</v>
      </c>
      <c r="F840" t="s">
        <v>42</v>
      </c>
      <c r="G840" t="s">
        <v>24</v>
      </c>
      <c r="H840">
        <v>38</v>
      </c>
      <c r="I840" s="1">
        <v>41748</v>
      </c>
      <c r="J840" s="2">
        <v>256509</v>
      </c>
      <c r="K840" s="3">
        <v>0.39</v>
      </c>
      <c r="L840" t="s">
        <v>37</v>
      </c>
      <c r="M840" t="s">
        <v>38</v>
      </c>
      <c r="N840" s="2">
        <f>Employee_Data[[#This Row],[Basic Salary]]*10%</f>
        <v>2137.5750000000003</v>
      </c>
      <c r="O840" s="4">
        <f>Employee_Data[[#This Row],[Basic Salary]]*7.5%</f>
        <v>1603.1812499999999</v>
      </c>
      <c r="P840" s="2">
        <f>Employee_Data[[#This Row],[Basic Salary]]*3%</f>
        <v>641.27249999999992</v>
      </c>
      <c r="Q840" s="2">
        <f>SUM(Employee_Data[[#This Row],[Basic Salary]],Employee_Data[[#This Row],[HRA]],Employee_Data[[#This Row],[MA]],Employee_Data[[#This Row],[TA]])</f>
        <v>25757.778750000001</v>
      </c>
      <c r="R840" s="4">
        <f>Employee_Data[[#This Row],[Basic Salary]]*12.5%</f>
        <v>2671.96875</v>
      </c>
      <c r="S840" s="2">
        <f>Employee_Data[[#This Row],[Annual Salary]]/12</f>
        <v>21375.75</v>
      </c>
    </row>
    <row r="841" spans="1:19" x14ac:dyDescent="0.3">
      <c r="A841" t="s">
        <v>1744</v>
      </c>
      <c r="D841" t="s">
        <v>21</v>
      </c>
      <c r="E841" t="s">
        <v>56</v>
      </c>
      <c r="F841" t="s">
        <v>42</v>
      </c>
      <c r="G841" t="s">
        <v>43</v>
      </c>
      <c r="H841">
        <v>30</v>
      </c>
      <c r="I841" s="1">
        <v>43877</v>
      </c>
      <c r="J841" s="2">
        <v>76904</v>
      </c>
      <c r="K841" s="3">
        <v>0</v>
      </c>
      <c r="L841" t="s">
        <v>137</v>
      </c>
      <c r="M841" t="s">
        <v>138</v>
      </c>
      <c r="N841" s="2">
        <f>Employee_Data[[#This Row],[Basic Salary]]*10%</f>
        <v>640.86666666666679</v>
      </c>
      <c r="O841" s="4">
        <f>Employee_Data[[#This Row],[Basic Salary]]*7.5%</f>
        <v>480.65</v>
      </c>
      <c r="P841" s="2">
        <f>Employee_Data[[#This Row],[Basic Salary]]*3%</f>
        <v>192.26</v>
      </c>
      <c r="Q841" s="2">
        <f>SUM(Employee_Data[[#This Row],[Basic Salary]],Employee_Data[[#This Row],[HRA]],Employee_Data[[#This Row],[MA]],Employee_Data[[#This Row],[TA]])</f>
        <v>7722.4433333333336</v>
      </c>
      <c r="R841" s="4">
        <f>Employee_Data[[#This Row],[Basic Salary]]*12.5%</f>
        <v>801.08333333333337</v>
      </c>
      <c r="S841" s="2">
        <f>Employee_Data[[#This Row],[Annual Salary]]/12</f>
        <v>6408.666666666667</v>
      </c>
    </row>
    <row r="842" spans="1:19" x14ac:dyDescent="0.3">
      <c r="B842" t="s">
        <v>1745</v>
      </c>
      <c r="C842" t="s">
        <v>54</v>
      </c>
      <c r="E842" t="s">
        <v>36</v>
      </c>
      <c r="F842" t="s">
        <v>23</v>
      </c>
      <c r="G842" t="s">
        <v>24</v>
      </c>
      <c r="H842">
        <v>43</v>
      </c>
      <c r="I842" s="1">
        <v>43412</v>
      </c>
      <c r="J842" s="2">
        <v>87914</v>
      </c>
      <c r="K842" s="3">
        <v>0</v>
      </c>
      <c r="L842" t="s">
        <v>37</v>
      </c>
      <c r="M842" t="s">
        <v>38</v>
      </c>
      <c r="N842" s="2">
        <f>Employee_Data[[#This Row],[Basic Salary]]*10%</f>
        <v>732.61666666666679</v>
      </c>
      <c r="O842" s="4">
        <f>Employee_Data[[#This Row],[Basic Salary]]*7.5%</f>
        <v>549.46249999999998</v>
      </c>
      <c r="P842" s="2">
        <f>Employee_Data[[#This Row],[Basic Salary]]*3%</f>
        <v>219.785</v>
      </c>
      <c r="Q842" s="2">
        <f>SUM(Employee_Data[[#This Row],[Basic Salary]],Employee_Data[[#This Row],[HRA]],Employee_Data[[#This Row],[MA]],Employee_Data[[#This Row],[TA]])</f>
        <v>8828.0308333333342</v>
      </c>
      <c r="R842" s="4">
        <f>Employee_Data[[#This Row],[Basic Salary]]*12.5%</f>
        <v>915.77083333333337</v>
      </c>
      <c r="S842" s="2">
        <f>Employee_Data[[#This Row],[Annual Salary]]/12</f>
        <v>7326.166666666667</v>
      </c>
    </row>
    <row r="843" spans="1:19" x14ac:dyDescent="0.3">
      <c r="A843" t="s">
        <v>1746</v>
      </c>
      <c r="C843" t="s">
        <v>89</v>
      </c>
      <c r="D843" t="s">
        <v>61</v>
      </c>
      <c r="E843" t="s">
        <v>22</v>
      </c>
      <c r="F843" t="s">
        <v>23</v>
      </c>
      <c r="G843" t="s">
        <v>24</v>
      </c>
      <c r="H843">
        <v>40</v>
      </c>
      <c r="I843" s="1">
        <v>40242</v>
      </c>
      <c r="J843" s="2">
        <v>235994</v>
      </c>
      <c r="K843" s="3">
        <v>0.33</v>
      </c>
      <c r="L843" t="s">
        <v>37</v>
      </c>
      <c r="M843" t="s">
        <v>111</v>
      </c>
      <c r="N843" s="2">
        <f>Employee_Data[[#This Row],[Basic Salary]]*10%</f>
        <v>1966.6166666666668</v>
      </c>
      <c r="O843" s="4">
        <f>Employee_Data[[#This Row],[Basic Salary]]*7.5%</f>
        <v>1474.9625000000001</v>
      </c>
      <c r="P843" s="2">
        <f>Employee_Data[[#This Row],[Basic Salary]]*3%</f>
        <v>589.98500000000001</v>
      </c>
      <c r="Q843" s="2">
        <f>SUM(Employee_Data[[#This Row],[Basic Salary]],Employee_Data[[#This Row],[HRA]],Employee_Data[[#This Row],[MA]],Employee_Data[[#This Row],[TA]])</f>
        <v>23697.730833333335</v>
      </c>
      <c r="R843" s="4">
        <f>Employee_Data[[#This Row],[Basic Salary]]*12.5%</f>
        <v>2458.2708333333335</v>
      </c>
      <c r="S843" s="2">
        <f>Employee_Data[[#This Row],[Annual Salary]]/12</f>
        <v>19666.166666666668</v>
      </c>
    </row>
    <row r="844" spans="1:19" x14ac:dyDescent="0.3">
      <c r="A844" t="s">
        <v>1747</v>
      </c>
      <c r="B844" t="s">
        <v>1748</v>
      </c>
      <c r="E844" t="s">
        <v>31</v>
      </c>
      <c r="F844" t="s">
        <v>23</v>
      </c>
      <c r="G844" t="s">
        <v>66</v>
      </c>
      <c r="H844">
        <v>55</v>
      </c>
      <c r="I844" s="1">
        <v>42075</v>
      </c>
      <c r="J844" s="2">
        <v>79620</v>
      </c>
      <c r="K844" s="3">
        <v>0</v>
      </c>
      <c r="L844" t="s">
        <v>25</v>
      </c>
      <c r="M844" t="s">
        <v>32</v>
      </c>
      <c r="N844" s="2">
        <f>Employee_Data[[#This Row],[Basic Salary]]*10%</f>
        <v>663.5</v>
      </c>
      <c r="O844" s="4">
        <f>Employee_Data[[#This Row],[Basic Salary]]*7.5%</f>
        <v>497.625</v>
      </c>
      <c r="P844" s="2">
        <f>Employee_Data[[#This Row],[Basic Salary]]*3%</f>
        <v>199.04999999999998</v>
      </c>
      <c r="Q844" s="2">
        <f>SUM(Employee_Data[[#This Row],[Basic Salary]],Employee_Data[[#This Row],[HRA]],Employee_Data[[#This Row],[MA]],Employee_Data[[#This Row],[TA]])</f>
        <v>7995.1750000000002</v>
      </c>
      <c r="R844" s="4">
        <f>Employee_Data[[#This Row],[Basic Salary]]*12.5%</f>
        <v>829.375</v>
      </c>
      <c r="S844" s="2">
        <f>Employee_Data[[#This Row],[Annual Salary]]/12</f>
        <v>6635</v>
      </c>
    </row>
    <row r="845" spans="1:19" x14ac:dyDescent="0.3">
      <c r="A845" t="s">
        <v>1749</v>
      </c>
      <c r="B845" t="s">
        <v>1750</v>
      </c>
      <c r="C845" t="s">
        <v>164</v>
      </c>
      <c r="D845" t="s">
        <v>4</v>
      </c>
      <c r="F845" t="s">
        <v>42</v>
      </c>
      <c r="G845" t="s">
        <v>66</v>
      </c>
      <c r="H845">
        <v>36</v>
      </c>
      <c r="I845" s="1">
        <v>40333</v>
      </c>
      <c r="J845" s="2">
        <v>62450</v>
      </c>
      <c r="K845" s="3">
        <v>0</v>
      </c>
      <c r="L845" t="s">
        <v>25</v>
      </c>
      <c r="M845" t="s">
        <v>48</v>
      </c>
      <c r="N845" s="2">
        <f>Employee_Data[[#This Row],[Basic Salary]]*10%</f>
        <v>520.41666666666674</v>
      </c>
      <c r="O845" s="4">
        <f>Employee_Data[[#This Row],[Basic Salary]]*7.5%</f>
        <v>390.3125</v>
      </c>
      <c r="P845" s="2">
        <f>Employee_Data[[#This Row],[Basic Salary]]*3%</f>
        <v>156.125</v>
      </c>
      <c r="Q845" s="2">
        <f>SUM(Employee_Data[[#This Row],[Basic Salary]],Employee_Data[[#This Row],[HRA]],Employee_Data[[#This Row],[MA]],Employee_Data[[#This Row],[TA]])</f>
        <v>6271.0208333333339</v>
      </c>
      <c r="R845" s="4">
        <f>Employee_Data[[#This Row],[Basic Salary]]*12.5%</f>
        <v>650.52083333333337</v>
      </c>
      <c r="S845" s="2">
        <f>Employee_Data[[#This Row],[Annual Salary]]/12</f>
        <v>5204.166666666667</v>
      </c>
    </row>
    <row r="846" spans="1:19" x14ac:dyDescent="0.3">
      <c r="A846" t="s">
        <v>1751</v>
      </c>
      <c r="B846" t="s">
        <v>1752</v>
      </c>
      <c r="C846" t="s">
        <v>83</v>
      </c>
      <c r="D846" t="s">
        <v>126</v>
      </c>
      <c r="F846" t="s">
        <v>23</v>
      </c>
      <c r="G846" t="s">
        <v>43</v>
      </c>
      <c r="H846">
        <v>47</v>
      </c>
      <c r="I846" s="1">
        <v>36889</v>
      </c>
      <c r="J846" s="2">
        <v>134612</v>
      </c>
      <c r="K846" s="3">
        <v>0.12</v>
      </c>
      <c r="L846" t="s">
        <v>25</v>
      </c>
      <c r="M846" t="s">
        <v>48</v>
      </c>
      <c r="N846" s="2">
        <f>Employee_Data[[#This Row],[Basic Salary]]*10%</f>
        <v>1121.7666666666667</v>
      </c>
      <c r="O846" s="4">
        <f>Employee_Data[[#This Row],[Basic Salary]]*7.5%</f>
        <v>841.32499999999993</v>
      </c>
      <c r="P846" s="2">
        <f>Employee_Data[[#This Row],[Basic Salary]]*3%</f>
        <v>336.53</v>
      </c>
      <c r="Q846" s="2">
        <f>SUM(Employee_Data[[#This Row],[Basic Salary]],Employee_Data[[#This Row],[HRA]],Employee_Data[[#This Row],[MA]],Employee_Data[[#This Row],[TA]])</f>
        <v>13517.288333333334</v>
      </c>
      <c r="R846" s="4">
        <f>Employee_Data[[#This Row],[Basic Salary]]*12.5%</f>
        <v>1402.2083333333333</v>
      </c>
      <c r="S846" s="2">
        <f>Employee_Data[[#This Row],[Annual Salary]]/12</f>
        <v>11217.666666666666</v>
      </c>
    </row>
    <row r="847" spans="1:19" x14ac:dyDescent="0.3">
      <c r="A847" t="s">
        <v>1753</v>
      </c>
      <c r="B847" t="s">
        <v>1754</v>
      </c>
      <c r="C847" t="s">
        <v>73</v>
      </c>
      <c r="D847" t="s">
        <v>4</v>
      </c>
      <c r="E847" t="s">
        <v>36</v>
      </c>
      <c r="F847" t="s">
        <v>42</v>
      </c>
      <c r="G847" t="s">
        <v>24</v>
      </c>
      <c r="H847">
        <v>59</v>
      </c>
      <c r="I847" s="1">
        <v>39589</v>
      </c>
      <c r="J847" s="2">
        <v>46151</v>
      </c>
      <c r="K847" s="3">
        <v>0</v>
      </c>
      <c r="L847" t="s">
        <v>25</v>
      </c>
      <c r="M847" t="s">
        <v>51</v>
      </c>
      <c r="N847" s="2">
        <f>Employee_Data[[#This Row],[Basic Salary]]*10%</f>
        <v>384.5916666666667</v>
      </c>
      <c r="O847" s="4">
        <f>Employee_Data[[#This Row],[Basic Salary]]*7.5%</f>
        <v>288.44374999999997</v>
      </c>
      <c r="P847" s="2">
        <f>Employee_Data[[#This Row],[Basic Salary]]*3%</f>
        <v>115.3775</v>
      </c>
      <c r="Q847" s="2">
        <f>SUM(Employee_Data[[#This Row],[Basic Salary]],Employee_Data[[#This Row],[HRA]],Employee_Data[[#This Row],[MA]],Employee_Data[[#This Row],[TA]])</f>
        <v>4634.3295833333332</v>
      </c>
      <c r="R847" s="4">
        <f>Employee_Data[[#This Row],[Basic Salary]]*12.5%</f>
        <v>480.73958333333331</v>
      </c>
      <c r="S847" s="2">
        <f>Employee_Data[[#This Row],[Annual Salary]]/12</f>
        <v>3845.9166666666665</v>
      </c>
    </row>
    <row r="848" spans="1:19" x14ac:dyDescent="0.3">
      <c r="A848" t="s">
        <v>1755</v>
      </c>
      <c r="B848" t="s">
        <v>1756</v>
      </c>
      <c r="C848" t="s">
        <v>355</v>
      </c>
      <c r="D848" t="s">
        <v>4</v>
      </c>
      <c r="E848" t="s">
        <v>22</v>
      </c>
      <c r="F848" t="s">
        <v>42</v>
      </c>
      <c r="G848" t="s">
        <v>66</v>
      </c>
      <c r="H848">
        <v>40</v>
      </c>
      <c r="I848" s="1">
        <v>39510</v>
      </c>
      <c r="J848" s="2">
        <v>63889</v>
      </c>
      <c r="K848" s="3">
        <v>0</v>
      </c>
      <c r="L848" t="s">
        <v>25</v>
      </c>
      <c r="M848" t="s">
        <v>44</v>
      </c>
      <c r="N848" s="2">
        <f>Employee_Data[[#This Row],[Basic Salary]]*10%</f>
        <v>532.4083333333333</v>
      </c>
      <c r="O848" s="4">
        <f>Employee_Data[[#This Row],[Basic Salary]]*7.5%</f>
        <v>399.30624999999998</v>
      </c>
      <c r="P848" s="2">
        <f>Employee_Data[[#This Row],[Basic Salary]]*3%</f>
        <v>159.7225</v>
      </c>
      <c r="Q848" s="2">
        <f>SUM(Employee_Data[[#This Row],[Basic Salary]],Employee_Data[[#This Row],[HRA]],Employee_Data[[#This Row],[MA]],Employee_Data[[#This Row],[TA]])</f>
        <v>6415.5204166666663</v>
      </c>
      <c r="R848" s="4">
        <f>Employee_Data[[#This Row],[Basic Salary]]*12.5%</f>
        <v>665.51041666666663</v>
      </c>
      <c r="S848" s="2">
        <f>Employee_Data[[#This Row],[Annual Salary]]/12</f>
        <v>5324.083333333333</v>
      </c>
    </row>
    <row r="849" spans="1:19" x14ac:dyDescent="0.3">
      <c r="A849" t="s">
        <v>1757</v>
      </c>
      <c r="B849" t="s">
        <v>1758</v>
      </c>
      <c r="C849" t="s">
        <v>134</v>
      </c>
      <c r="D849" t="s">
        <v>21</v>
      </c>
      <c r="E849" t="s">
        <v>31</v>
      </c>
      <c r="F849" t="s">
        <v>42</v>
      </c>
      <c r="G849" t="s">
        <v>43</v>
      </c>
      <c r="H849">
        <v>53</v>
      </c>
      <c r="I849" s="1">
        <v>39920</v>
      </c>
      <c r="J849" s="2">
        <v>75060</v>
      </c>
      <c r="K849" s="3">
        <v>0</v>
      </c>
      <c r="L849" t="s">
        <v>25</v>
      </c>
      <c r="M849" t="s">
        <v>26</v>
      </c>
      <c r="N849" s="2">
        <f>Employee_Data[[#This Row],[Basic Salary]]*10%</f>
        <v>625.5</v>
      </c>
      <c r="O849" s="4">
        <f>Employee_Data[[#This Row],[Basic Salary]]*7.5%</f>
        <v>469.125</v>
      </c>
      <c r="P849" s="2">
        <f>Employee_Data[[#This Row],[Basic Salary]]*3%</f>
        <v>187.65</v>
      </c>
      <c r="Q849" s="2">
        <f>SUM(Employee_Data[[#This Row],[Basic Salary]],Employee_Data[[#This Row],[HRA]],Employee_Data[[#This Row],[MA]],Employee_Data[[#This Row],[TA]])</f>
        <v>7537.2749999999996</v>
      </c>
      <c r="R849" s="4">
        <f>Employee_Data[[#This Row],[Basic Salary]]*12.5%</f>
        <v>781.875</v>
      </c>
      <c r="S849" s="2">
        <f>Employee_Data[[#This Row],[Annual Salary]]/12</f>
        <v>6255</v>
      </c>
    </row>
    <row r="850" spans="1:19" x14ac:dyDescent="0.3">
      <c r="A850" t="s">
        <v>1759</v>
      </c>
      <c r="B850" t="s">
        <v>1760</v>
      </c>
      <c r="C850" t="s">
        <v>47</v>
      </c>
      <c r="D850" t="s">
        <v>4</v>
      </c>
      <c r="E850" t="s">
        <v>22</v>
      </c>
      <c r="F850" t="s">
        <v>42</v>
      </c>
      <c r="G850" t="s">
        <v>24</v>
      </c>
      <c r="H850">
        <v>50</v>
      </c>
      <c r="I850" s="1">
        <v>40655</v>
      </c>
      <c r="J850" s="2">
        <v>175033</v>
      </c>
      <c r="K850" s="3">
        <v>0.2</v>
      </c>
      <c r="L850" t="s">
        <v>37</v>
      </c>
      <c r="M850" t="s">
        <v>111</v>
      </c>
      <c r="N850" s="2">
        <f>Employee_Data[[#This Row],[Basic Salary]]*10%</f>
        <v>1458.6083333333336</v>
      </c>
      <c r="O850" s="4">
        <f>Employee_Data[[#This Row],[Basic Salary]]*7.5%</f>
        <v>1093.95625</v>
      </c>
      <c r="P850" s="2">
        <f>Employee_Data[[#This Row],[Basic Salary]]*3%</f>
        <v>437.58249999999998</v>
      </c>
      <c r="Q850" s="2">
        <f>SUM(Employee_Data[[#This Row],[Basic Salary]],Employee_Data[[#This Row],[HRA]],Employee_Data[[#This Row],[MA]],Employee_Data[[#This Row],[TA]])</f>
        <v>17576.230416666669</v>
      </c>
      <c r="R850" s="4">
        <f>Employee_Data[[#This Row],[Basic Salary]]*12.5%</f>
        <v>1823.2604166666667</v>
      </c>
      <c r="S850" s="2">
        <f>Employee_Data[[#This Row],[Annual Salary]]/12</f>
        <v>14586.083333333334</v>
      </c>
    </row>
    <row r="851" spans="1:19" x14ac:dyDescent="0.3">
      <c r="A851" t="s">
        <v>1761</v>
      </c>
      <c r="B851" t="s">
        <v>1762</v>
      </c>
      <c r="C851" t="s">
        <v>180</v>
      </c>
      <c r="D851" t="s">
        <v>4</v>
      </c>
      <c r="E851" t="s">
        <v>56</v>
      </c>
      <c r="F851" t="s">
        <v>42</v>
      </c>
      <c r="G851" t="s">
        <v>66</v>
      </c>
      <c r="H851">
        <v>52</v>
      </c>
      <c r="I851" s="1">
        <v>41667</v>
      </c>
      <c r="J851" s="2">
        <v>89379</v>
      </c>
      <c r="K851" s="3">
        <v>0.1</v>
      </c>
      <c r="L851" t="s">
        <v>25</v>
      </c>
      <c r="M851" t="s">
        <v>44</v>
      </c>
      <c r="N851" s="2">
        <f>Employee_Data[[#This Row],[Basic Salary]]*10%</f>
        <v>744.82500000000005</v>
      </c>
      <c r="O851" s="4">
        <f>Employee_Data[[#This Row],[Basic Salary]]*7.5%</f>
        <v>558.61874999999998</v>
      </c>
      <c r="P851" s="2">
        <f>Employee_Data[[#This Row],[Basic Salary]]*3%</f>
        <v>223.44749999999999</v>
      </c>
      <c r="Q851" s="2">
        <f>SUM(Employee_Data[[#This Row],[Basic Salary]],Employee_Data[[#This Row],[HRA]],Employee_Data[[#This Row],[MA]],Employee_Data[[#This Row],[TA]])</f>
        <v>8975.1412500000006</v>
      </c>
      <c r="R851" s="4">
        <f>Employee_Data[[#This Row],[Basic Salary]]*12.5%</f>
        <v>931.03125</v>
      </c>
      <c r="S851" s="2">
        <f>Employee_Data[[#This Row],[Annual Salary]]/12</f>
        <v>7448.25</v>
      </c>
    </row>
    <row r="852" spans="1:19" x14ac:dyDescent="0.3">
      <c r="A852" t="s">
        <v>1763</v>
      </c>
      <c r="B852" t="s">
        <v>1764</v>
      </c>
      <c r="C852" t="s">
        <v>20</v>
      </c>
      <c r="D852" t="s">
        <v>21</v>
      </c>
      <c r="E852" t="s">
        <v>31</v>
      </c>
      <c r="F852" t="s">
        <v>42</v>
      </c>
      <c r="G852" t="s">
        <v>84</v>
      </c>
      <c r="H852">
        <v>40</v>
      </c>
      <c r="I852" s="1">
        <v>40642</v>
      </c>
      <c r="J852" s="2">
        <v>98594</v>
      </c>
      <c r="K852" s="3">
        <v>0</v>
      </c>
      <c r="L852" t="s">
        <v>25</v>
      </c>
      <c r="M852" t="s">
        <v>51</v>
      </c>
      <c r="N852" s="2">
        <f>Employee_Data[[#This Row],[Basic Salary]]*10%</f>
        <v>821.61666666666667</v>
      </c>
      <c r="O852" s="4">
        <f>Employee_Data[[#This Row],[Basic Salary]]*7.5%</f>
        <v>616.21249999999998</v>
      </c>
      <c r="P852" s="2">
        <f>Employee_Data[[#This Row],[Basic Salary]]*3%</f>
        <v>246.48499999999999</v>
      </c>
      <c r="Q852" s="2">
        <f>SUM(Employee_Data[[#This Row],[Basic Salary]],Employee_Data[[#This Row],[HRA]],Employee_Data[[#This Row],[MA]],Employee_Data[[#This Row],[TA]])</f>
        <v>9900.4808333333331</v>
      </c>
      <c r="R852" s="4">
        <f>Employee_Data[[#This Row],[Basic Salary]]*12.5%</f>
        <v>1027.0208333333333</v>
      </c>
      <c r="S852" s="2">
        <f>Employee_Data[[#This Row],[Annual Salary]]/12</f>
        <v>8216.1666666666661</v>
      </c>
    </row>
    <row r="853" spans="1:19" x14ac:dyDescent="0.3">
      <c r="A853" t="s">
        <v>1765</v>
      </c>
      <c r="B853" t="s">
        <v>1766</v>
      </c>
      <c r="C853" t="s">
        <v>89</v>
      </c>
      <c r="D853" t="s">
        <v>80</v>
      </c>
      <c r="E853" t="s">
        <v>36</v>
      </c>
      <c r="F853" t="s">
        <v>42</v>
      </c>
      <c r="G853" t="s">
        <v>66</v>
      </c>
      <c r="H853">
        <v>39</v>
      </c>
      <c r="I853" s="1">
        <v>44474</v>
      </c>
      <c r="J853" s="2">
        <v>224435</v>
      </c>
      <c r="K853" s="3">
        <v>0.33</v>
      </c>
      <c r="L853" t="s">
        <v>25</v>
      </c>
      <c r="M853" t="s">
        <v>44</v>
      </c>
      <c r="N853" s="2">
        <f>Employee_Data[[#This Row],[Basic Salary]]*10%</f>
        <v>1870.291666666667</v>
      </c>
      <c r="O853" s="4">
        <f>Employee_Data[[#This Row],[Basic Salary]]*7.5%</f>
        <v>1402.71875</v>
      </c>
      <c r="P853" s="2">
        <f>Employee_Data[[#This Row],[Basic Salary]]*3%</f>
        <v>561.08749999999998</v>
      </c>
      <c r="Q853" s="2">
        <f>SUM(Employee_Data[[#This Row],[Basic Salary]],Employee_Data[[#This Row],[HRA]],Employee_Data[[#This Row],[MA]],Employee_Data[[#This Row],[TA]])</f>
        <v>22537.014583333337</v>
      </c>
      <c r="R853" s="4">
        <f>Employee_Data[[#This Row],[Basic Salary]]*12.5%</f>
        <v>2337.8645833333335</v>
      </c>
      <c r="S853" s="2">
        <f>Employee_Data[[#This Row],[Annual Salary]]/12</f>
        <v>18702.916666666668</v>
      </c>
    </row>
    <row r="854" spans="1:19" x14ac:dyDescent="0.3">
      <c r="A854" t="s">
        <v>1767</v>
      </c>
      <c r="B854" t="s">
        <v>1768</v>
      </c>
      <c r="C854" t="s">
        <v>101</v>
      </c>
      <c r="D854" t="s">
        <v>4</v>
      </c>
      <c r="E854" t="s">
        <v>31</v>
      </c>
      <c r="F854" t="s">
        <v>23</v>
      </c>
      <c r="G854" t="s">
        <v>43</v>
      </c>
      <c r="H854">
        <v>31</v>
      </c>
      <c r="I854" s="1">
        <v>42025</v>
      </c>
      <c r="J854" s="2">
        <v>63644</v>
      </c>
      <c r="K854" s="3">
        <v>0</v>
      </c>
      <c r="L854" t="s">
        <v>137</v>
      </c>
      <c r="M854" t="s">
        <v>289</v>
      </c>
      <c r="N854" s="2">
        <f>Employee_Data[[#This Row],[Basic Salary]]*10%</f>
        <v>530.36666666666667</v>
      </c>
      <c r="O854" s="4">
        <f>Employee_Data[[#This Row],[Basic Salary]]*7.5%</f>
        <v>397.77500000000003</v>
      </c>
      <c r="P854" s="2">
        <f>Employee_Data[[#This Row],[Basic Salary]]*3%</f>
        <v>159.11000000000001</v>
      </c>
      <c r="Q854" s="2">
        <f>SUM(Employee_Data[[#This Row],[Basic Salary]],Employee_Data[[#This Row],[HRA]],Employee_Data[[#This Row],[MA]],Employee_Data[[#This Row],[TA]])</f>
        <v>6390.9183333333331</v>
      </c>
      <c r="R854" s="4">
        <f>Employee_Data[[#This Row],[Basic Salary]]*12.5%</f>
        <v>662.95833333333337</v>
      </c>
      <c r="S854" s="2">
        <f>Employee_Data[[#This Row],[Annual Salary]]/12</f>
        <v>5303.666666666667</v>
      </c>
    </row>
    <row r="855" spans="1:19" x14ac:dyDescent="0.3">
      <c r="A855" t="s">
        <v>1769</v>
      </c>
      <c r="B855" t="s">
        <v>1770</v>
      </c>
      <c r="C855" t="s">
        <v>69</v>
      </c>
      <c r="D855" t="s">
        <v>55</v>
      </c>
      <c r="E855" t="s">
        <v>22</v>
      </c>
      <c r="F855" t="s">
        <v>42</v>
      </c>
      <c r="G855" t="s">
        <v>24</v>
      </c>
      <c r="H855">
        <v>30</v>
      </c>
      <c r="I855" s="1">
        <v>43450</v>
      </c>
      <c r="J855" s="2">
        <v>121234</v>
      </c>
      <c r="K855" s="3">
        <v>0.05</v>
      </c>
      <c r="L855" t="s">
        <v>25</v>
      </c>
      <c r="M855" t="s">
        <v>48</v>
      </c>
      <c r="N855" s="2">
        <f>Employee_Data[[#This Row],[Basic Salary]]*10%</f>
        <v>1010.2833333333334</v>
      </c>
      <c r="O855" s="4">
        <f>Employee_Data[[#This Row],[Basic Salary]]*7.5%</f>
        <v>757.71249999999998</v>
      </c>
      <c r="P855" s="2">
        <f>Employee_Data[[#This Row],[Basic Salary]]*3%</f>
        <v>303.08499999999998</v>
      </c>
      <c r="Q855" s="2">
        <f>SUM(Employee_Data[[#This Row],[Basic Salary]],Employee_Data[[#This Row],[HRA]],Employee_Data[[#This Row],[MA]],Employee_Data[[#This Row],[TA]])</f>
        <v>12173.914166666666</v>
      </c>
      <c r="R855" s="4">
        <f>Employee_Data[[#This Row],[Basic Salary]]*12.5%</f>
        <v>1262.8541666666667</v>
      </c>
      <c r="S855" s="2">
        <f>Employee_Data[[#This Row],[Annual Salary]]/12</f>
        <v>10102.833333333334</v>
      </c>
    </row>
    <row r="856" spans="1:19" x14ac:dyDescent="0.3">
      <c r="A856" t="s">
        <v>1771</v>
      </c>
      <c r="B856" t="s">
        <v>1772</v>
      </c>
      <c r="C856" t="s">
        <v>54</v>
      </c>
      <c r="D856" t="s">
        <v>55</v>
      </c>
      <c r="E856" t="s">
        <v>36</v>
      </c>
      <c r="F856" t="s">
        <v>23</v>
      </c>
      <c r="G856" t="s">
        <v>43</v>
      </c>
      <c r="H856">
        <v>47</v>
      </c>
      <c r="I856" s="1">
        <v>39347</v>
      </c>
      <c r="J856" s="2">
        <v>83793</v>
      </c>
      <c r="K856" s="3">
        <v>0</v>
      </c>
      <c r="L856" t="s">
        <v>25</v>
      </c>
      <c r="M856" t="s">
        <v>70</v>
      </c>
      <c r="N856" s="2">
        <f>Employee_Data[[#This Row],[Basic Salary]]*10%</f>
        <v>698.27500000000009</v>
      </c>
      <c r="O856" s="4">
        <f>Employee_Data[[#This Row],[Basic Salary]]*7.5%</f>
        <v>523.70624999999995</v>
      </c>
      <c r="P856" s="2">
        <f>Employee_Data[[#This Row],[Basic Salary]]*3%</f>
        <v>209.48249999999999</v>
      </c>
      <c r="Q856" s="2">
        <f>SUM(Employee_Data[[#This Row],[Basic Salary]],Employee_Data[[#This Row],[HRA]],Employee_Data[[#This Row],[MA]],Employee_Data[[#This Row],[TA]])</f>
        <v>8414.213749999999</v>
      </c>
      <c r="R856" s="4">
        <f>Employee_Data[[#This Row],[Basic Salary]]*12.5%</f>
        <v>872.84375</v>
      </c>
      <c r="S856" s="2">
        <f>Employee_Data[[#This Row],[Annual Salary]]/12</f>
        <v>6982.75</v>
      </c>
    </row>
    <row r="857" spans="1:19" x14ac:dyDescent="0.3">
      <c r="A857" t="s">
        <v>1773</v>
      </c>
      <c r="B857" t="s">
        <v>1774</v>
      </c>
      <c r="C857" t="s">
        <v>134</v>
      </c>
      <c r="D857" t="s">
        <v>21</v>
      </c>
      <c r="E857" t="s">
        <v>36</v>
      </c>
      <c r="F857" t="s">
        <v>42</v>
      </c>
      <c r="G857" t="s">
        <v>66</v>
      </c>
      <c r="H857">
        <v>46</v>
      </c>
      <c r="I857" s="1">
        <v>43797</v>
      </c>
      <c r="J857" s="2">
        <v>99586</v>
      </c>
      <c r="K857" s="3">
        <v>0</v>
      </c>
      <c r="L857" t="s">
        <v>25</v>
      </c>
      <c r="M857" t="s">
        <v>70</v>
      </c>
      <c r="N857" s="2">
        <f>Employee_Data[[#This Row],[Basic Salary]]*10%</f>
        <v>829.88333333333344</v>
      </c>
      <c r="O857" s="4">
        <f>Employee_Data[[#This Row],[Basic Salary]]*7.5%</f>
        <v>622.41250000000002</v>
      </c>
      <c r="P857" s="2">
        <f>Employee_Data[[#This Row],[Basic Salary]]*3%</f>
        <v>248.965</v>
      </c>
      <c r="Q857" s="2">
        <f>SUM(Employee_Data[[#This Row],[Basic Salary]],Employee_Data[[#This Row],[HRA]],Employee_Data[[#This Row],[MA]],Employee_Data[[#This Row],[TA]])</f>
        <v>10000.094166666668</v>
      </c>
      <c r="R857" s="4">
        <f>Employee_Data[[#This Row],[Basic Salary]]*12.5%</f>
        <v>1037.3541666666667</v>
      </c>
      <c r="S857" s="2">
        <f>Employee_Data[[#This Row],[Annual Salary]]/12</f>
        <v>8298.8333333333339</v>
      </c>
    </row>
    <row r="858" spans="1:19" x14ac:dyDescent="0.3">
      <c r="A858" t="s">
        <v>1775</v>
      </c>
      <c r="B858" t="s">
        <v>1776</v>
      </c>
      <c r="C858" t="s">
        <v>131</v>
      </c>
      <c r="D858" t="s">
        <v>126</v>
      </c>
      <c r="E858" t="s">
        <v>31</v>
      </c>
      <c r="F858" t="s">
        <v>42</v>
      </c>
      <c r="G858" t="s">
        <v>43</v>
      </c>
      <c r="H858">
        <v>43</v>
      </c>
      <c r="I858" s="1">
        <v>38971</v>
      </c>
      <c r="J858" s="2">
        <v>59514</v>
      </c>
      <c r="K858" s="3">
        <v>0</v>
      </c>
      <c r="L858" t="s">
        <v>137</v>
      </c>
      <c r="M858" t="s">
        <v>138</v>
      </c>
      <c r="N858" s="2">
        <f>Employee_Data[[#This Row],[Basic Salary]]*10%</f>
        <v>495.95000000000005</v>
      </c>
      <c r="O858" s="4">
        <f>Employee_Data[[#This Row],[Basic Salary]]*7.5%</f>
        <v>371.96249999999998</v>
      </c>
      <c r="P858" s="2">
        <f>Employee_Data[[#This Row],[Basic Salary]]*3%</f>
        <v>148.785</v>
      </c>
      <c r="Q858" s="2">
        <f>SUM(Employee_Data[[#This Row],[Basic Salary]],Employee_Data[[#This Row],[HRA]],Employee_Data[[#This Row],[MA]],Employee_Data[[#This Row],[TA]])</f>
        <v>5976.1974999999993</v>
      </c>
      <c r="R858" s="4">
        <f>Employee_Data[[#This Row],[Basic Salary]]*12.5%</f>
        <v>619.9375</v>
      </c>
      <c r="S858" s="2">
        <f>Employee_Data[[#This Row],[Annual Salary]]/12</f>
        <v>4959.5</v>
      </c>
    </row>
    <row r="859" spans="1:19" x14ac:dyDescent="0.3">
      <c r="A859" t="s">
        <v>1777</v>
      </c>
      <c r="B859" t="s">
        <v>1778</v>
      </c>
      <c r="C859" t="s">
        <v>69</v>
      </c>
      <c r="D859" t="s">
        <v>80</v>
      </c>
      <c r="E859" t="s">
        <v>31</v>
      </c>
      <c r="F859" t="s">
        <v>42</v>
      </c>
      <c r="G859" t="s">
        <v>66</v>
      </c>
      <c r="H859">
        <v>28</v>
      </c>
      <c r="I859" s="1">
        <v>43948</v>
      </c>
      <c r="J859" s="2">
        <v>106043</v>
      </c>
      <c r="K859" s="3">
        <v>0.1</v>
      </c>
      <c r="L859" t="s">
        <v>25</v>
      </c>
      <c r="M859" t="s">
        <v>26</v>
      </c>
      <c r="N859" s="2">
        <f>Employee_Data[[#This Row],[Basic Salary]]*10%</f>
        <v>883.69166666666661</v>
      </c>
      <c r="O859" s="4">
        <f>Employee_Data[[#This Row],[Basic Salary]]*7.5%</f>
        <v>662.76874999999995</v>
      </c>
      <c r="P859" s="2">
        <f>Employee_Data[[#This Row],[Basic Salary]]*3%</f>
        <v>265.10749999999996</v>
      </c>
      <c r="Q859" s="2">
        <f>SUM(Employee_Data[[#This Row],[Basic Salary]],Employee_Data[[#This Row],[HRA]],Employee_Data[[#This Row],[MA]],Employee_Data[[#This Row],[TA]])</f>
        <v>10648.484583333333</v>
      </c>
      <c r="R859" s="4">
        <f>Employee_Data[[#This Row],[Basic Salary]]*12.5%</f>
        <v>1104.6145833333333</v>
      </c>
      <c r="S859" s="2">
        <f>Employee_Data[[#This Row],[Annual Salary]]/12</f>
        <v>8836.9166666666661</v>
      </c>
    </row>
    <row r="860" spans="1:19" x14ac:dyDescent="0.3">
      <c r="A860" t="s">
        <v>1779</v>
      </c>
      <c r="B860" t="s">
        <v>1780</v>
      </c>
      <c r="C860" t="s">
        <v>227</v>
      </c>
      <c r="D860" t="s">
        <v>4</v>
      </c>
      <c r="F860" t="s">
        <v>23</v>
      </c>
      <c r="G860" t="s">
        <v>24</v>
      </c>
      <c r="H860">
        <v>47</v>
      </c>
      <c r="I860" s="1">
        <v>38607</v>
      </c>
      <c r="J860" s="2">
        <v>78985</v>
      </c>
      <c r="K860" s="3">
        <v>0</v>
      </c>
      <c r="L860" t="s">
        <v>37</v>
      </c>
      <c r="M860" t="s">
        <v>111</v>
      </c>
      <c r="N860" s="2">
        <f>Employee_Data[[#This Row],[Basic Salary]]*10%</f>
        <v>658.20833333333337</v>
      </c>
      <c r="O860" s="4">
        <f>Employee_Data[[#This Row],[Basic Salary]]*7.5%</f>
        <v>493.65624999999994</v>
      </c>
      <c r="P860" s="2">
        <f>Employee_Data[[#This Row],[Basic Salary]]*3%</f>
        <v>197.46249999999998</v>
      </c>
      <c r="Q860" s="2">
        <f>SUM(Employee_Data[[#This Row],[Basic Salary]],Employee_Data[[#This Row],[HRA]],Employee_Data[[#This Row],[MA]],Employee_Data[[#This Row],[TA]])</f>
        <v>7931.4104166666657</v>
      </c>
      <c r="R860" s="4">
        <f>Employee_Data[[#This Row],[Basic Salary]]*12.5%</f>
        <v>822.76041666666663</v>
      </c>
      <c r="S860" s="2">
        <f>Employee_Data[[#This Row],[Annual Salary]]/12</f>
        <v>6582.083333333333</v>
      </c>
    </row>
    <row r="861" spans="1:19" x14ac:dyDescent="0.3">
      <c r="A861" t="s">
        <v>1781</v>
      </c>
      <c r="B861" t="s">
        <v>1782</v>
      </c>
      <c r="F861" t="s">
        <v>42</v>
      </c>
      <c r="G861" t="s">
        <v>43</v>
      </c>
      <c r="H861">
        <v>43</v>
      </c>
      <c r="I861" s="1">
        <v>41237</v>
      </c>
      <c r="J861" s="2">
        <v>226122</v>
      </c>
      <c r="L861" t="s">
        <v>137</v>
      </c>
      <c r="M861" t="s">
        <v>289</v>
      </c>
      <c r="N861" s="2">
        <f>Employee_Data[[#This Row],[Basic Salary]]*10%</f>
        <v>1884.3500000000001</v>
      </c>
      <c r="O861" s="4">
        <f>Employee_Data[[#This Row],[Basic Salary]]*7.5%</f>
        <v>1413.2625</v>
      </c>
      <c r="P861" s="2">
        <f>Employee_Data[[#This Row],[Basic Salary]]*3%</f>
        <v>565.30499999999995</v>
      </c>
      <c r="Q861" s="2">
        <f>SUM(Employee_Data[[#This Row],[Basic Salary]],Employee_Data[[#This Row],[HRA]],Employee_Data[[#This Row],[MA]],Employee_Data[[#This Row],[TA]])</f>
        <v>22706.4175</v>
      </c>
      <c r="R861" s="4">
        <f>Employee_Data[[#This Row],[Basic Salary]]*12.5%</f>
        <v>2355.4375</v>
      </c>
      <c r="S861" s="2">
        <f>Employee_Data[[#This Row],[Annual Salary]]/12</f>
        <v>18843.5</v>
      </c>
    </row>
    <row r="862" spans="1:19" x14ac:dyDescent="0.3">
      <c r="A862" t="s">
        <v>1783</v>
      </c>
      <c r="B862" t="s">
        <v>1784</v>
      </c>
      <c r="D862" t="s">
        <v>61</v>
      </c>
      <c r="F862" t="s">
        <v>42</v>
      </c>
      <c r="G862" t="s">
        <v>84</v>
      </c>
      <c r="H862">
        <v>42</v>
      </c>
      <c r="I862" s="1">
        <v>40918</v>
      </c>
      <c r="J862" s="2">
        <v>110720</v>
      </c>
      <c r="L862" t="s">
        <v>25</v>
      </c>
      <c r="M862" t="s">
        <v>70</v>
      </c>
      <c r="N862" s="2">
        <f>Employee_Data[[#This Row],[Basic Salary]]*10%</f>
        <v>922.66666666666663</v>
      </c>
      <c r="O862" s="4">
        <f>Employee_Data[[#This Row],[Basic Salary]]*7.5%</f>
        <v>691.99999999999989</v>
      </c>
      <c r="P862" s="2">
        <f>Employee_Data[[#This Row],[Basic Salary]]*3%</f>
        <v>276.79999999999995</v>
      </c>
      <c r="Q862" s="2">
        <f>SUM(Employee_Data[[#This Row],[Basic Salary]],Employee_Data[[#This Row],[HRA]],Employee_Data[[#This Row],[MA]],Employee_Data[[#This Row],[TA]])</f>
        <v>11118.133333333331</v>
      </c>
      <c r="R862" s="4">
        <f>Employee_Data[[#This Row],[Basic Salary]]*12.5%</f>
        <v>1153.3333333333333</v>
      </c>
      <c r="S862" s="2">
        <f>Employee_Data[[#This Row],[Annual Salary]]/12</f>
        <v>9226.6666666666661</v>
      </c>
    </row>
    <row r="863" spans="1:19" x14ac:dyDescent="0.3">
      <c r="A863" t="s">
        <v>1785</v>
      </c>
      <c r="B863" t="s">
        <v>1786</v>
      </c>
      <c r="F863" t="s">
        <v>23</v>
      </c>
      <c r="G863" t="s">
        <v>24</v>
      </c>
      <c r="H863">
        <v>45</v>
      </c>
      <c r="I863" s="1">
        <v>40097</v>
      </c>
      <c r="J863" s="2">
        <v>152519</v>
      </c>
      <c r="K863" s="3">
        <v>0.3</v>
      </c>
      <c r="M863" t="s">
        <v>57</v>
      </c>
      <c r="N863" s="2">
        <f>Employee_Data[[#This Row],[Basic Salary]]*10%</f>
        <v>1270.9916666666668</v>
      </c>
      <c r="O863" s="4">
        <f>Employee_Data[[#This Row],[Basic Salary]]*7.5%</f>
        <v>953.24374999999986</v>
      </c>
      <c r="P863" s="2">
        <f>Employee_Data[[#This Row],[Basic Salary]]*3%</f>
        <v>381.29749999999996</v>
      </c>
      <c r="Q863" s="2">
        <f>SUM(Employee_Data[[#This Row],[Basic Salary]],Employee_Data[[#This Row],[HRA]],Employee_Data[[#This Row],[MA]],Employee_Data[[#This Row],[TA]])</f>
        <v>15315.449583333333</v>
      </c>
      <c r="R863" s="4">
        <f>Employee_Data[[#This Row],[Basic Salary]]*12.5%</f>
        <v>1588.7395833333333</v>
      </c>
      <c r="S863" s="2">
        <f>Employee_Data[[#This Row],[Annual Salary]]/12</f>
        <v>12709.916666666666</v>
      </c>
    </row>
    <row r="864" spans="1:19" x14ac:dyDescent="0.3">
      <c r="A864" t="s">
        <v>1787</v>
      </c>
      <c r="B864" t="s">
        <v>1788</v>
      </c>
      <c r="D864" t="s">
        <v>21</v>
      </c>
      <c r="E864" t="s">
        <v>31</v>
      </c>
      <c r="G864" t="s">
        <v>66</v>
      </c>
      <c r="H864">
        <v>37</v>
      </c>
      <c r="I864" s="1">
        <v>40261</v>
      </c>
      <c r="J864" s="2">
        <v>80015</v>
      </c>
      <c r="L864" t="s">
        <v>25</v>
      </c>
      <c r="M864" t="s">
        <v>32</v>
      </c>
      <c r="N864" s="2">
        <f>Employee_Data[[#This Row],[Basic Salary]]*10%</f>
        <v>666.79166666666674</v>
      </c>
      <c r="O864" s="4">
        <f>Employee_Data[[#This Row],[Basic Salary]]*7.5%</f>
        <v>500.09375</v>
      </c>
      <c r="P864" s="2">
        <f>Employee_Data[[#This Row],[Basic Salary]]*3%</f>
        <v>200.03749999999999</v>
      </c>
      <c r="Q864" s="2">
        <f>SUM(Employee_Data[[#This Row],[Basic Salary]],Employee_Data[[#This Row],[HRA]],Employee_Data[[#This Row],[MA]],Employee_Data[[#This Row],[TA]])</f>
        <v>8034.8395833333343</v>
      </c>
      <c r="R864" s="4">
        <f>Employee_Data[[#This Row],[Basic Salary]]*12.5%</f>
        <v>833.48958333333337</v>
      </c>
      <c r="S864" s="2">
        <f>Employee_Data[[#This Row],[Annual Salary]]/12</f>
        <v>6667.916666666667</v>
      </c>
    </row>
    <row r="865" spans="1:19" x14ac:dyDescent="0.3">
      <c r="A865" t="s">
        <v>1789</v>
      </c>
      <c r="B865" t="s">
        <v>40</v>
      </c>
      <c r="C865" t="s">
        <v>89</v>
      </c>
      <c r="D865" t="s">
        <v>4</v>
      </c>
      <c r="E865" t="s">
        <v>31</v>
      </c>
      <c r="G865" t="s">
        <v>43</v>
      </c>
      <c r="H865">
        <v>46</v>
      </c>
      <c r="I865" s="1">
        <v>44076</v>
      </c>
      <c r="J865" s="2">
        <v>192286</v>
      </c>
      <c r="L865" t="s">
        <v>137</v>
      </c>
      <c r="M865" t="s">
        <v>138</v>
      </c>
      <c r="N865" s="2">
        <f>Employee_Data[[#This Row],[Basic Salary]]*10%</f>
        <v>1602.3833333333334</v>
      </c>
      <c r="O865" s="4">
        <f>Employee_Data[[#This Row],[Basic Salary]]*7.5%</f>
        <v>1201.7874999999999</v>
      </c>
      <c r="P865" s="2">
        <f>Employee_Data[[#This Row],[Basic Salary]]*3%</f>
        <v>480.71499999999997</v>
      </c>
      <c r="Q865" s="2">
        <f>SUM(Employee_Data[[#This Row],[Basic Salary]],Employee_Data[[#This Row],[HRA]],Employee_Data[[#This Row],[MA]],Employee_Data[[#This Row],[TA]])</f>
        <v>19308.719166666666</v>
      </c>
      <c r="R865" s="4">
        <f>Employee_Data[[#This Row],[Basic Salary]]*12.5%</f>
        <v>2002.9791666666667</v>
      </c>
      <c r="S865" s="2">
        <f>Employee_Data[[#This Row],[Annual Salary]]/12</f>
        <v>16023.833333333334</v>
      </c>
    </row>
    <row r="866" spans="1:19" x14ac:dyDescent="0.3">
      <c r="A866" t="s">
        <v>1790</v>
      </c>
      <c r="B866" t="s">
        <v>1791</v>
      </c>
      <c r="C866" t="s">
        <v>131</v>
      </c>
      <c r="D866" t="s">
        <v>126</v>
      </c>
      <c r="F866" t="s">
        <v>42</v>
      </c>
      <c r="G866" t="s">
        <v>24</v>
      </c>
      <c r="H866">
        <v>49</v>
      </c>
      <c r="I866" s="1">
        <v>41927</v>
      </c>
      <c r="J866" s="2">
        <v>40352</v>
      </c>
      <c r="L866" t="s">
        <v>37</v>
      </c>
      <c r="M866" t="s">
        <v>111</v>
      </c>
      <c r="N866" s="2">
        <f>Employee_Data[[#This Row],[Basic Salary]]*10%</f>
        <v>336.26666666666665</v>
      </c>
      <c r="O866" s="4">
        <f>Employee_Data[[#This Row],[Basic Salary]]*7.5%</f>
        <v>252.2</v>
      </c>
      <c r="P866" s="2">
        <f>Employee_Data[[#This Row],[Basic Salary]]*3%</f>
        <v>100.88</v>
      </c>
      <c r="Q866" s="2">
        <f>SUM(Employee_Data[[#This Row],[Basic Salary]],Employee_Data[[#This Row],[HRA]],Employee_Data[[#This Row],[MA]],Employee_Data[[#This Row],[TA]])</f>
        <v>4052.0133333333333</v>
      </c>
      <c r="R866" s="4">
        <f>Employee_Data[[#This Row],[Basic Salary]]*12.5%</f>
        <v>420.33333333333331</v>
      </c>
      <c r="S866" s="2">
        <f>Employee_Data[[#This Row],[Annual Salary]]/12</f>
        <v>3362.6666666666665</v>
      </c>
    </row>
    <row r="867" spans="1:19" x14ac:dyDescent="0.3">
      <c r="A867" t="s">
        <v>1792</v>
      </c>
      <c r="B867" t="s">
        <v>1793</v>
      </c>
      <c r="C867" t="s">
        <v>83</v>
      </c>
      <c r="D867" t="s">
        <v>126</v>
      </c>
      <c r="G867" t="s">
        <v>66</v>
      </c>
      <c r="H867">
        <v>53</v>
      </c>
      <c r="I867" s="1">
        <v>39626</v>
      </c>
      <c r="J867" s="2">
        <v>147813</v>
      </c>
      <c r="K867" s="3">
        <v>0.13</v>
      </c>
      <c r="M867" t="s">
        <v>32</v>
      </c>
      <c r="N867" s="2">
        <f>Employee_Data[[#This Row],[Basic Salary]]*10%</f>
        <v>1231.7750000000001</v>
      </c>
      <c r="O867" s="4">
        <f>Employee_Data[[#This Row],[Basic Salary]]*7.5%</f>
        <v>923.83124999999995</v>
      </c>
      <c r="P867" s="2">
        <f>Employee_Data[[#This Row],[Basic Salary]]*3%</f>
        <v>369.53249999999997</v>
      </c>
      <c r="Q867" s="2">
        <f>SUM(Employee_Data[[#This Row],[Basic Salary]],Employee_Data[[#This Row],[HRA]],Employee_Data[[#This Row],[MA]],Employee_Data[[#This Row],[TA]])</f>
        <v>14842.888749999998</v>
      </c>
      <c r="R867" s="4">
        <f>Employee_Data[[#This Row],[Basic Salary]]*12.5%</f>
        <v>1539.71875</v>
      </c>
      <c r="S867" s="2">
        <f>Employee_Data[[#This Row],[Annual Salary]]/12</f>
        <v>12317.75</v>
      </c>
    </row>
    <row r="868" spans="1:19" x14ac:dyDescent="0.3">
      <c r="A868" t="s">
        <v>1794</v>
      </c>
      <c r="B868" t="s">
        <v>1795</v>
      </c>
      <c r="C868" t="s">
        <v>65</v>
      </c>
      <c r="D868" t="s">
        <v>4</v>
      </c>
      <c r="F868" t="s">
        <v>42</v>
      </c>
      <c r="H868">
        <v>61</v>
      </c>
      <c r="I868" s="1">
        <v>40334</v>
      </c>
      <c r="J868" s="2">
        <v>96404</v>
      </c>
      <c r="K868" s="3">
        <v>0</v>
      </c>
      <c r="M868" t="s">
        <v>62</v>
      </c>
      <c r="N868" s="2">
        <f>Employee_Data[[#This Row],[Basic Salary]]*10%</f>
        <v>803.36666666666679</v>
      </c>
      <c r="O868" s="4">
        <f>Employee_Data[[#This Row],[Basic Salary]]*7.5%</f>
        <v>602.52499999999998</v>
      </c>
      <c r="P868" s="2">
        <f>Employee_Data[[#This Row],[Basic Salary]]*3%</f>
        <v>241.01</v>
      </c>
      <c r="Q868" s="2">
        <f>SUM(Employee_Data[[#This Row],[Basic Salary]],Employee_Data[[#This Row],[HRA]],Employee_Data[[#This Row],[MA]],Employee_Data[[#This Row],[TA]])</f>
        <v>9680.5683333333327</v>
      </c>
      <c r="R868" s="4">
        <f>Employee_Data[[#This Row],[Basic Salary]]*12.5%</f>
        <v>1004.2083333333334</v>
      </c>
      <c r="S868" s="2">
        <f>Employee_Data[[#This Row],[Annual Salary]]/12</f>
        <v>8033.666666666667</v>
      </c>
    </row>
    <row r="869" spans="1:19" x14ac:dyDescent="0.3">
      <c r="A869" t="s">
        <v>1796</v>
      </c>
      <c r="B869" t="s">
        <v>1797</v>
      </c>
      <c r="C869" t="s">
        <v>60</v>
      </c>
      <c r="D869" t="s">
        <v>55</v>
      </c>
      <c r="F869" t="s">
        <v>42</v>
      </c>
      <c r="G869" t="s">
        <v>24</v>
      </c>
      <c r="I869" s="1">
        <v>37059</v>
      </c>
      <c r="J869" s="2">
        <v>64882</v>
      </c>
      <c r="K869" s="3">
        <v>0</v>
      </c>
      <c r="L869" t="s">
        <v>25</v>
      </c>
      <c r="N869" s="2">
        <f>Employee_Data[[#This Row],[Basic Salary]]*10%</f>
        <v>540.68333333333328</v>
      </c>
      <c r="O869" s="4">
        <f>Employee_Data[[#This Row],[Basic Salary]]*7.5%</f>
        <v>405.51249999999999</v>
      </c>
      <c r="P869" s="2">
        <f>Employee_Data[[#This Row],[Basic Salary]]*3%</f>
        <v>162.20499999999998</v>
      </c>
      <c r="Q869" s="2">
        <f>SUM(Employee_Data[[#This Row],[Basic Salary]],Employee_Data[[#This Row],[HRA]],Employee_Data[[#This Row],[MA]],Employee_Data[[#This Row],[TA]])</f>
        <v>6515.2341666666662</v>
      </c>
      <c r="R869" s="4">
        <f>Employee_Data[[#This Row],[Basic Salary]]*12.5%</f>
        <v>675.85416666666663</v>
      </c>
      <c r="S869" s="2">
        <f>Employee_Data[[#This Row],[Annual Salary]]/12</f>
        <v>5406.833333333333</v>
      </c>
    </row>
    <row r="870" spans="1:19" x14ac:dyDescent="0.3">
      <c r="A870" t="s">
        <v>1798</v>
      </c>
      <c r="B870" t="s">
        <v>1799</v>
      </c>
      <c r="C870" t="s">
        <v>89</v>
      </c>
      <c r="D870" t="s">
        <v>30</v>
      </c>
      <c r="G870" t="s">
        <v>66</v>
      </c>
      <c r="H870">
        <v>58</v>
      </c>
      <c r="J870" s="2">
        <v>203739</v>
      </c>
      <c r="K870" s="3">
        <v>0.3</v>
      </c>
      <c r="M870" t="s">
        <v>70</v>
      </c>
      <c r="N870" s="2">
        <f>Employee_Data[[#This Row],[Basic Salary]]*10%</f>
        <v>1697.825</v>
      </c>
      <c r="O870" s="4">
        <f>Employee_Data[[#This Row],[Basic Salary]]*7.5%</f>
        <v>1273.3687499999999</v>
      </c>
      <c r="P870" s="2">
        <f>Employee_Data[[#This Row],[Basic Salary]]*3%</f>
        <v>509.34749999999997</v>
      </c>
      <c r="Q870" s="2">
        <f>SUM(Employee_Data[[#This Row],[Basic Salary]],Employee_Data[[#This Row],[HRA]],Employee_Data[[#This Row],[MA]],Employee_Data[[#This Row],[TA]])</f>
        <v>20458.791250000002</v>
      </c>
      <c r="R870" s="4">
        <f>Employee_Data[[#This Row],[Basic Salary]]*12.5%</f>
        <v>2122.28125</v>
      </c>
      <c r="S870" s="2">
        <f>Employee_Data[[#This Row],[Annual Salary]]/12</f>
        <v>16978.25</v>
      </c>
    </row>
    <row r="871" spans="1:19" x14ac:dyDescent="0.3">
      <c r="A871" t="s">
        <v>1800</v>
      </c>
      <c r="B871" t="s">
        <v>1801</v>
      </c>
      <c r="C871" t="s">
        <v>47</v>
      </c>
      <c r="D871" t="s">
        <v>21</v>
      </c>
      <c r="F871" t="s">
        <v>23</v>
      </c>
      <c r="G871" t="s">
        <v>66</v>
      </c>
      <c r="H871">
        <v>34</v>
      </c>
      <c r="I871" s="1">
        <v>44636</v>
      </c>
      <c r="K871" s="3">
        <v>0.19</v>
      </c>
      <c r="M871" t="s">
        <v>51</v>
      </c>
      <c r="N871" s="2">
        <f>Employee_Data[[#This Row],[Basic Salary]]*10%</f>
        <v>0</v>
      </c>
      <c r="O871" s="4">
        <f>Employee_Data[[#This Row],[Basic Salary]]*7.5%</f>
        <v>0</v>
      </c>
      <c r="P871" s="2">
        <f>Employee_Data[[#This Row],[Basic Salary]]*3%</f>
        <v>0</v>
      </c>
      <c r="Q871" s="2">
        <f>SUM(Employee_Data[[#This Row],[Basic Salary]],Employee_Data[[#This Row],[HRA]],Employee_Data[[#This Row],[MA]],Employee_Data[[#This Row],[TA]])</f>
        <v>0</v>
      </c>
      <c r="R871" s="4">
        <f>Employee_Data[[#This Row],[Basic Salary]]*12.5%</f>
        <v>0</v>
      </c>
      <c r="S871" s="2">
        <f>Employee_Data[[#This Row],[Annual Salary]]/12</f>
        <v>0</v>
      </c>
    </row>
    <row r="872" spans="1:19" x14ac:dyDescent="0.3">
      <c r="A872" t="s">
        <v>1802</v>
      </c>
      <c r="B872" t="s">
        <v>1803</v>
      </c>
      <c r="C872" t="s">
        <v>180</v>
      </c>
      <c r="D872" t="s">
        <v>4</v>
      </c>
      <c r="E872" t="s">
        <v>22</v>
      </c>
      <c r="F872" t="s">
        <v>42</v>
      </c>
      <c r="G872" t="s">
        <v>84</v>
      </c>
      <c r="H872">
        <v>54</v>
      </c>
      <c r="K872" s="3">
        <v>0.05</v>
      </c>
      <c r="M872" t="s">
        <v>32</v>
      </c>
      <c r="N872" s="2">
        <f>Employee_Data[[#This Row],[Basic Salary]]*10%</f>
        <v>0</v>
      </c>
      <c r="O872" s="4">
        <f>Employee_Data[[#This Row],[Basic Salary]]*7.5%</f>
        <v>0</v>
      </c>
      <c r="P872" s="2">
        <f>Employee_Data[[#This Row],[Basic Salary]]*3%</f>
        <v>0</v>
      </c>
      <c r="Q872" s="2">
        <f>SUM(Employee_Data[[#This Row],[Basic Salary]],Employee_Data[[#This Row],[HRA]],Employee_Data[[#This Row],[MA]],Employee_Data[[#This Row],[TA]])</f>
        <v>0</v>
      </c>
      <c r="R872" s="4">
        <f>Employee_Data[[#This Row],[Basic Salary]]*12.5%</f>
        <v>0</v>
      </c>
      <c r="S872" s="2">
        <f>Employee_Data[[#This Row],[Annual Salary]]/12</f>
        <v>0</v>
      </c>
    </row>
    <row r="873" spans="1:19" x14ac:dyDescent="0.3">
      <c r="A873" t="s">
        <v>1804</v>
      </c>
      <c r="B873" t="s">
        <v>1805</v>
      </c>
      <c r="C873" t="s">
        <v>405</v>
      </c>
      <c r="D873" t="s">
        <v>30</v>
      </c>
      <c r="E873" t="s">
        <v>56</v>
      </c>
      <c r="F873" t="s">
        <v>23</v>
      </c>
      <c r="I873" s="1">
        <v>39840</v>
      </c>
      <c r="J873" s="2">
        <v>90881</v>
      </c>
      <c r="K873" s="3">
        <v>0</v>
      </c>
      <c r="M873" t="s">
        <v>38</v>
      </c>
      <c r="N873" s="2">
        <f>Employee_Data[[#This Row],[Basic Salary]]*10%</f>
        <v>757.3416666666667</v>
      </c>
      <c r="O873" s="4">
        <f>Employee_Data[[#This Row],[Basic Salary]]*7.5%</f>
        <v>568.00625000000002</v>
      </c>
      <c r="P873" s="2">
        <f>Employee_Data[[#This Row],[Basic Salary]]*3%</f>
        <v>227.20250000000001</v>
      </c>
      <c r="Q873" s="2">
        <f>SUM(Employee_Data[[#This Row],[Basic Salary]],Employee_Data[[#This Row],[HRA]],Employee_Data[[#This Row],[MA]],Employee_Data[[#This Row],[TA]])</f>
        <v>9125.967083333333</v>
      </c>
      <c r="R873" s="4">
        <f>Employee_Data[[#This Row],[Basic Salary]]*12.5%</f>
        <v>946.67708333333337</v>
      </c>
      <c r="S873" s="2">
        <f>Employee_Data[[#This Row],[Annual Salary]]/12</f>
        <v>7573.416666666667</v>
      </c>
    </row>
    <row r="874" spans="1:19" x14ac:dyDescent="0.3">
      <c r="A874" t="s">
        <v>1806</v>
      </c>
      <c r="B874" t="s">
        <v>1807</v>
      </c>
      <c r="C874" t="s">
        <v>380</v>
      </c>
      <c r="D874" t="s">
        <v>4</v>
      </c>
      <c r="E874" t="s">
        <v>56</v>
      </c>
      <c r="F874" t="s">
        <v>42</v>
      </c>
      <c r="H874">
        <v>28</v>
      </c>
      <c r="I874" s="1">
        <v>44510</v>
      </c>
      <c r="J874" s="2">
        <v>83965</v>
      </c>
      <c r="K874" s="3">
        <v>0</v>
      </c>
      <c r="M874" t="s">
        <v>62</v>
      </c>
      <c r="N874" s="2">
        <f>Employee_Data[[#This Row],[Basic Salary]]*10%</f>
        <v>699.70833333333337</v>
      </c>
      <c r="O874" s="4">
        <f>Employee_Data[[#This Row],[Basic Salary]]*7.5%</f>
        <v>524.78125</v>
      </c>
      <c r="P874" s="2">
        <f>Employee_Data[[#This Row],[Basic Salary]]*3%</f>
        <v>209.91249999999999</v>
      </c>
      <c r="Q874" s="2">
        <f>SUM(Employee_Data[[#This Row],[Basic Salary]],Employee_Data[[#This Row],[HRA]],Employee_Data[[#This Row],[MA]],Employee_Data[[#This Row],[TA]])</f>
        <v>8431.4854166666664</v>
      </c>
      <c r="R874" s="4">
        <f>Employee_Data[[#This Row],[Basic Salary]]*12.5%</f>
        <v>874.63541666666663</v>
      </c>
      <c r="S874" s="2">
        <f>Employee_Data[[#This Row],[Annual Salary]]/12</f>
        <v>6997.083333333333</v>
      </c>
    </row>
    <row r="875" spans="1:19" x14ac:dyDescent="0.3">
      <c r="A875" t="s">
        <v>1808</v>
      </c>
      <c r="B875" t="s">
        <v>1809</v>
      </c>
      <c r="C875" t="s">
        <v>408</v>
      </c>
      <c r="D875" t="s">
        <v>21</v>
      </c>
      <c r="E875" t="s">
        <v>31</v>
      </c>
      <c r="G875" t="s">
        <v>84</v>
      </c>
      <c r="H875">
        <v>62</v>
      </c>
      <c r="I875" s="1">
        <v>38898</v>
      </c>
      <c r="J875" s="2">
        <v>73500</v>
      </c>
      <c r="M875" t="s">
        <v>51</v>
      </c>
      <c r="N875" s="2">
        <f>Employee_Data[[#This Row],[Basic Salary]]*10%</f>
        <v>612.5</v>
      </c>
      <c r="O875" s="4">
        <f>Employee_Data[[#This Row],[Basic Salary]]*7.5%</f>
        <v>459.375</v>
      </c>
      <c r="P875" s="2">
        <f>Employee_Data[[#This Row],[Basic Salary]]*3%</f>
        <v>183.75</v>
      </c>
      <c r="Q875" s="2">
        <f>SUM(Employee_Data[[#This Row],[Basic Salary]],Employee_Data[[#This Row],[HRA]],Employee_Data[[#This Row],[MA]],Employee_Data[[#This Row],[TA]])</f>
        <v>7380.625</v>
      </c>
      <c r="R875" s="4">
        <f>Employee_Data[[#This Row],[Basic Salary]]*12.5%</f>
        <v>765.625</v>
      </c>
      <c r="S875" s="2">
        <f>Employee_Data[[#This Row],[Annual Salary]]/12</f>
        <v>6125</v>
      </c>
    </row>
    <row r="876" spans="1:19" x14ac:dyDescent="0.3">
      <c r="A876" t="s">
        <v>1810</v>
      </c>
      <c r="B876" t="s">
        <v>1811</v>
      </c>
      <c r="C876" t="s">
        <v>47</v>
      </c>
      <c r="D876" t="s">
        <v>126</v>
      </c>
      <c r="F876" t="s">
        <v>23</v>
      </c>
      <c r="G876" t="s">
        <v>66</v>
      </c>
      <c r="H876">
        <v>59</v>
      </c>
      <c r="I876" s="1">
        <v>44744</v>
      </c>
      <c r="J876" s="2">
        <v>175137</v>
      </c>
      <c r="L876" t="s">
        <v>25</v>
      </c>
      <c r="M876" t="s">
        <v>32</v>
      </c>
      <c r="N876" s="2">
        <f>Employee_Data[[#This Row],[Basic Salary]]*10%</f>
        <v>1459.4750000000001</v>
      </c>
      <c r="O876" s="4">
        <f>Employee_Data[[#This Row],[Basic Salary]]*7.5%</f>
        <v>1094.60625</v>
      </c>
      <c r="P876" s="2">
        <f>Employee_Data[[#This Row],[Basic Salary]]*3%</f>
        <v>437.84249999999997</v>
      </c>
      <c r="Q876" s="2">
        <f>SUM(Employee_Data[[#This Row],[Basic Salary]],Employee_Data[[#This Row],[HRA]],Employee_Data[[#This Row],[MA]],Employee_Data[[#This Row],[TA]])</f>
        <v>17586.673749999998</v>
      </c>
      <c r="R876" s="4">
        <f>Employee_Data[[#This Row],[Basic Salary]]*12.5%</f>
        <v>1824.34375</v>
      </c>
      <c r="S876" s="2">
        <f>Employee_Data[[#This Row],[Annual Salary]]/12</f>
        <v>14594.75</v>
      </c>
    </row>
    <row r="877" spans="1:19" x14ac:dyDescent="0.3">
      <c r="A877" t="s">
        <v>1812</v>
      </c>
      <c r="B877" t="s">
        <v>1813</v>
      </c>
      <c r="C877" t="s">
        <v>47</v>
      </c>
      <c r="D877" t="s">
        <v>80</v>
      </c>
      <c r="F877" t="s">
        <v>42</v>
      </c>
      <c r="G877" t="s">
        <v>66</v>
      </c>
      <c r="H877">
        <v>35</v>
      </c>
      <c r="I877" s="1">
        <v>41067</v>
      </c>
      <c r="J877" s="2">
        <v>161453</v>
      </c>
      <c r="L877" t="s">
        <v>25</v>
      </c>
      <c r="M877" t="s">
        <v>51</v>
      </c>
      <c r="N877" s="2">
        <f>Employee_Data[[#This Row],[Basic Salary]]*10%</f>
        <v>1345.4416666666666</v>
      </c>
      <c r="O877" s="4">
        <f>Employee_Data[[#This Row],[Basic Salary]]*7.5%</f>
        <v>1009.08125</v>
      </c>
      <c r="P877" s="2">
        <f>Employee_Data[[#This Row],[Basic Salary]]*3%</f>
        <v>403.63249999999999</v>
      </c>
      <c r="Q877" s="2">
        <f>SUM(Employee_Data[[#This Row],[Basic Salary]],Employee_Data[[#This Row],[HRA]],Employee_Data[[#This Row],[MA]],Employee_Data[[#This Row],[TA]])</f>
        <v>16212.572083333333</v>
      </c>
      <c r="R877" s="4">
        <f>Employee_Data[[#This Row],[Basic Salary]]*12.5%</f>
        <v>1681.8020833333333</v>
      </c>
      <c r="S877" s="2">
        <f>Employee_Data[[#This Row],[Annual Salary]]/12</f>
        <v>13454.416666666666</v>
      </c>
    </row>
    <row r="878" spans="1:19" x14ac:dyDescent="0.3">
      <c r="A878" t="s">
        <v>1814</v>
      </c>
      <c r="B878" t="s">
        <v>1815</v>
      </c>
      <c r="C878" t="s">
        <v>60</v>
      </c>
      <c r="E878" t="s">
        <v>22</v>
      </c>
      <c r="F878" t="s">
        <v>23</v>
      </c>
      <c r="G878" t="s">
        <v>43</v>
      </c>
      <c r="H878">
        <v>31</v>
      </c>
      <c r="I878" s="1">
        <v>43970</v>
      </c>
      <c r="J878" s="2">
        <v>64234</v>
      </c>
      <c r="K878" s="3">
        <v>0</v>
      </c>
      <c r="M878" t="s">
        <v>44</v>
      </c>
      <c r="N878" s="2">
        <f>Employee_Data[[#This Row],[Basic Salary]]*10%</f>
        <v>535.2833333333333</v>
      </c>
      <c r="O878" s="4">
        <f>Employee_Data[[#This Row],[Basic Salary]]*7.5%</f>
        <v>401.46249999999998</v>
      </c>
      <c r="P878" s="2">
        <f>Employee_Data[[#This Row],[Basic Salary]]*3%</f>
        <v>160.58499999999998</v>
      </c>
      <c r="Q878" s="2">
        <f>SUM(Employee_Data[[#This Row],[Basic Salary]],Employee_Data[[#This Row],[HRA]],Employee_Data[[#This Row],[MA]],Employee_Data[[#This Row],[TA]])</f>
        <v>6450.1641666666665</v>
      </c>
      <c r="R878" s="4">
        <f>Employee_Data[[#This Row],[Basic Salary]]*12.5%</f>
        <v>669.10416666666663</v>
      </c>
      <c r="S878" s="2">
        <f>Employee_Data[[#This Row],[Annual Salary]]/12</f>
        <v>5352.833333333333</v>
      </c>
    </row>
    <row r="879" spans="1:19" x14ac:dyDescent="0.3">
      <c r="A879" t="s">
        <v>1816</v>
      </c>
      <c r="B879" t="s">
        <v>1817</v>
      </c>
      <c r="D879" t="s">
        <v>4</v>
      </c>
      <c r="E879" t="s">
        <v>56</v>
      </c>
      <c r="F879" t="s">
        <v>23</v>
      </c>
      <c r="G879" t="s">
        <v>24</v>
      </c>
      <c r="H879">
        <v>55</v>
      </c>
      <c r="I879" s="1">
        <v>34527</v>
      </c>
      <c r="J879" s="2">
        <v>103726</v>
      </c>
      <c r="L879" t="s">
        <v>37</v>
      </c>
      <c r="M879" t="s">
        <v>38</v>
      </c>
      <c r="N879" s="2">
        <f>Employee_Data[[#This Row],[Basic Salary]]*10%</f>
        <v>864.38333333333344</v>
      </c>
      <c r="O879" s="4">
        <f>Employee_Data[[#This Row],[Basic Salary]]*7.5%</f>
        <v>648.28750000000002</v>
      </c>
      <c r="P879" s="2">
        <f>Employee_Data[[#This Row],[Basic Salary]]*3%</f>
        <v>259.315</v>
      </c>
      <c r="Q879" s="2">
        <f>SUM(Employee_Data[[#This Row],[Basic Salary]],Employee_Data[[#This Row],[HRA]],Employee_Data[[#This Row],[MA]],Employee_Data[[#This Row],[TA]])</f>
        <v>10415.819166666668</v>
      </c>
      <c r="R879" s="4">
        <f>Employee_Data[[#This Row],[Basic Salary]]*12.5%</f>
        <v>1080.4791666666667</v>
      </c>
      <c r="S879" s="2">
        <f>Employee_Data[[#This Row],[Annual Salary]]/12</f>
        <v>8643.8333333333339</v>
      </c>
    </row>
    <row r="880" spans="1:19" x14ac:dyDescent="0.3">
      <c r="A880" t="s">
        <v>1818</v>
      </c>
      <c r="D880" t="s">
        <v>21</v>
      </c>
      <c r="E880" t="s">
        <v>36</v>
      </c>
      <c r="F880" t="s">
        <v>23</v>
      </c>
      <c r="G880" t="s">
        <v>24</v>
      </c>
      <c r="H880">
        <v>46</v>
      </c>
      <c r="I880" s="1">
        <v>36889</v>
      </c>
      <c r="J880" s="2">
        <v>114260</v>
      </c>
      <c r="L880" t="s">
        <v>37</v>
      </c>
      <c r="M880" t="s">
        <v>62</v>
      </c>
      <c r="N880" s="2">
        <f>Employee_Data[[#This Row],[Basic Salary]]*10%</f>
        <v>952.16666666666663</v>
      </c>
      <c r="O880" s="4">
        <f>Employee_Data[[#This Row],[Basic Salary]]*7.5%</f>
        <v>714.12499999999989</v>
      </c>
      <c r="P880" s="2">
        <f>Employee_Data[[#This Row],[Basic Salary]]*3%</f>
        <v>285.64999999999998</v>
      </c>
      <c r="Q880" s="2">
        <f>SUM(Employee_Data[[#This Row],[Basic Salary]],Employee_Data[[#This Row],[HRA]],Employee_Data[[#This Row],[MA]],Employee_Data[[#This Row],[TA]])</f>
        <v>11473.608333333332</v>
      </c>
      <c r="R880" s="4">
        <f>Employee_Data[[#This Row],[Basic Salary]]*12.5%</f>
        <v>1190.2083333333333</v>
      </c>
      <c r="S880" s="2">
        <f>Employee_Data[[#This Row],[Annual Salary]]/12</f>
        <v>9521.6666666666661</v>
      </c>
    </row>
    <row r="881" spans="1:19" x14ac:dyDescent="0.3">
      <c r="A881" t="s">
        <v>1819</v>
      </c>
      <c r="B881" t="s">
        <v>1820</v>
      </c>
      <c r="C881" t="s">
        <v>20</v>
      </c>
      <c r="F881" t="s">
        <v>23</v>
      </c>
      <c r="G881" t="s">
        <v>43</v>
      </c>
      <c r="H881">
        <v>36</v>
      </c>
      <c r="I881" s="1">
        <v>41026</v>
      </c>
      <c r="L881" t="s">
        <v>25</v>
      </c>
      <c r="M881" t="s">
        <v>48</v>
      </c>
      <c r="N881" s="2">
        <f>Employee_Data[[#This Row],[Basic Salary]]*10%</f>
        <v>0</v>
      </c>
      <c r="O881" s="4">
        <f>Employee_Data[[#This Row],[Basic Salary]]*7.5%</f>
        <v>0</v>
      </c>
      <c r="P881" s="2">
        <f>Employee_Data[[#This Row],[Basic Salary]]*3%</f>
        <v>0</v>
      </c>
      <c r="Q881" s="2">
        <f>SUM(Employee_Data[[#This Row],[Basic Salary]],Employee_Data[[#This Row],[HRA]],Employee_Data[[#This Row],[MA]],Employee_Data[[#This Row],[TA]])</f>
        <v>0</v>
      </c>
      <c r="R881" s="4">
        <f>Employee_Data[[#This Row],[Basic Salary]]*12.5%</f>
        <v>0</v>
      </c>
      <c r="S881" s="2">
        <f>Employee_Data[[#This Row],[Annual Salary]]/12</f>
        <v>0</v>
      </c>
    </row>
    <row r="882" spans="1:19" x14ac:dyDescent="0.3">
      <c r="A882" t="s">
        <v>1821</v>
      </c>
      <c r="B882" t="s">
        <v>1822</v>
      </c>
      <c r="C882" t="s">
        <v>83</v>
      </c>
      <c r="D882" t="s">
        <v>30</v>
      </c>
      <c r="F882" t="s">
        <v>23</v>
      </c>
      <c r="G882" t="s">
        <v>24</v>
      </c>
      <c r="H882">
        <v>27</v>
      </c>
      <c r="I882" s="1">
        <v>44417</v>
      </c>
      <c r="J882" s="2">
        <v>133267</v>
      </c>
      <c r="L882" t="s">
        <v>25</v>
      </c>
      <c r="M882" t="s">
        <v>51</v>
      </c>
      <c r="N882" s="2">
        <f>Employee_Data[[#This Row],[Basic Salary]]*10%</f>
        <v>1110.5583333333334</v>
      </c>
      <c r="O882" s="4">
        <f>Employee_Data[[#This Row],[Basic Salary]]*7.5%</f>
        <v>832.91875000000005</v>
      </c>
      <c r="P882" s="2">
        <f>Employee_Data[[#This Row],[Basic Salary]]*3%</f>
        <v>333.16750000000002</v>
      </c>
      <c r="Q882" s="2">
        <f>SUM(Employee_Data[[#This Row],[Basic Salary]],Employee_Data[[#This Row],[HRA]],Employee_Data[[#This Row],[MA]],Employee_Data[[#This Row],[TA]])</f>
        <v>13382.227916666667</v>
      </c>
      <c r="R882" s="4">
        <f>Employee_Data[[#This Row],[Basic Salary]]*12.5%</f>
        <v>1388.1979166666667</v>
      </c>
      <c r="S882" s="2">
        <f>Employee_Data[[#This Row],[Annual Salary]]/12</f>
        <v>11105.583333333334</v>
      </c>
    </row>
    <row r="883" spans="1:19" x14ac:dyDescent="0.3">
      <c r="A883" t="s">
        <v>1823</v>
      </c>
      <c r="B883" t="s">
        <v>1824</v>
      </c>
      <c r="C883" t="s">
        <v>104</v>
      </c>
      <c r="D883" t="s">
        <v>30</v>
      </c>
      <c r="E883" t="s">
        <v>56</v>
      </c>
      <c r="G883" t="s">
        <v>24</v>
      </c>
      <c r="H883">
        <v>50</v>
      </c>
      <c r="I883" s="1">
        <v>42708</v>
      </c>
      <c r="J883" s="2">
        <v>50038</v>
      </c>
      <c r="K883" s="3">
        <v>0</v>
      </c>
      <c r="M883" t="s">
        <v>57</v>
      </c>
      <c r="N883" s="2">
        <f>Employee_Data[[#This Row],[Basic Salary]]*10%</f>
        <v>416.98333333333335</v>
      </c>
      <c r="O883" s="4">
        <f>Employee_Data[[#This Row],[Basic Salary]]*7.5%</f>
        <v>312.73749999999995</v>
      </c>
      <c r="P883" s="2">
        <f>Employee_Data[[#This Row],[Basic Salary]]*3%</f>
        <v>125.09499999999998</v>
      </c>
      <c r="Q883" s="2">
        <f>SUM(Employee_Data[[#This Row],[Basic Salary]],Employee_Data[[#This Row],[HRA]],Employee_Data[[#This Row],[MA]],Employee_Data[[#This Row],[TA]])</f>
        <v>5024.649166666667</v>
      </c>
      <c r="R883" s="4">
        <f>Employee_Data[[#This Row],[Basic Salary]]*12.5%</f>
        <v>521.22916666666663</v>
      </c>
      <c r="S883" s="2">
        <f>Employee_Data[[#This Row],[Annual Salary]]/12</f>
        <v>4169.833333333333</v>
      </c>
    </row>
    <row r="884" spans="1:19" x14ac:dyDescent="0.3">
      <c r="A884" t="s">
        <v>1825</v>
      </c>
      <c r="B884" t="s">
        <v>1826</v>
      </c>
      <c r="C884" t="s">
        <v>29</v>
      </c>
      <c r="D884" t="s">
        <v>55</v>
      </c>
      <c r="E884" t="s">
        <v>31</v>
      </c>
      <c r="F884" t="s">
        <v>23</v>
      </c>
      <c r="H884">
        <v>27</v>
      </c>
      <c r="I884" s="1">
        <v>44567</v>
      </c>
      <c r="J884" s="2">
        <v>52058</v>
      </c>
      <c r="M884" t="s">
        <v>26</v>
      </c>
      <c r="N884" s="2">
        <f>Employee_Data[[#This Row],[Basic Salary]]*10%</f>
        <v>433.81666666666672</v>
      </c>
      <c r="O884" s="4">
        <f>Employee_Data[[#This Row],[Basic Salary]]*7.5%</f>
        <v>325.36250000000001</v>
      </c>
      <c r="P884" s="2">
        <f>Employee_Data[[#This Row],[Basic Salary]]*3%</f>
        <v>130.14500000000001</v>
      </c>
      <c r="Q884" s="2">
        <f>SUM(Employee_Data[[#This Row],[Basic Salary]],Employee_Data[[#This Row],[HRA]],Employee_Data[[#This Row],[MA]],Employee_Data[[#This Row],[TA]])</f>
        <v>5227.4908333333342</v>
      </c>
      <c r="R884" s="4">
        <f>Employee_Data[[#This Row],[Basic Salary]]*12.5%</f>
        <v>542.27083333333337</v>
      </c>
      <c r="S884" s="2">
        <f>Employee_Data[[#This Row],[Annual Salary]]/12</f>
        <v>4338.166666666667</v>
      </c>
    </row>
    <row r="885" spans="1:19" x14ac:dyDescent="0.3">
      <c r="A885" t="s">
        <v>1827</v>
      </c>
      <c r="B885" t="s">
        <v>1828</v>
      </c>
      <c r="C885" t="s">
        <v>69</v>
      </c>
      <c r="D885" t="s">
        <v>80</v>
      </c>
      <c r="E885" t="s">
        <v>56</v>
      </c>
      <c r="F885" t="s">
        <v>23</v>
      </c>
      <c r="G885" t="s">
        <v>66</v>
      </c>
      <c r="K885" s="3">
        <v>0.08</v>
      </c>
      <c r="L885" t="s">
        <v>25</v>
      </c>
      <c r="M885" t="s">
        <v>26</v>
      </c>
      <c r="N885" s="2">
        <f>Employee_Data[[#This Row],[Basic Salary]]*10%</f>
        <v>0</v>
      </c>
      <c r="O885" s="4">
        <f>Employee_Data[[#This Row],[Basic Salary]]*7.5%</f>
        <v>0</v>
      </c>
      <c r="P885" s="2">
        <f>Employee_Data[[#This Row],[Basic Salary]]*3%</f>
        <v>0</v>
      </c>
      <c r="Q885" s="2">
        <f>SUM(Employee_Data[[#This Row],[Basic Salary]],Employee_Data[[#This Row],[HRA]],Employee_Data[[#This Row],[MA]],Employee_Data[[#This Row],[TA]])</f>
        <v>0</v>
      </c>
      <c r="R885" s="4">
        <f>Employee_Data[[#This Row],[Basic Salary]]*12.5%</f>
        <v>0</v>
      </c>
      <c r="S885" s="2">
        <f>Employee_Data[[#This Row],[Annual Salary]]/12</f>
        <v>0</v>
      </c>
    </row>
    <row r="886" spans="1:19" x14ac:dyDescent="0.3">
      <c r="A886" t="s">
        <v>1829</v>
      </c>
      <c r="B886" t="s">
        <v>1830</v>
      </c>
      <c r="C886" t="s">
        <v>29</v>
      </c>
      <c r="D886" t="s">
        <v>55</v>
      </c>
      <c r="E886" t="s">
        <v>22</v>
      </c>
      <c r="F886" t="s">
        <v>23</v>
      </c>
      <c r="G886" t="s">
        <v>24</v>
      </c>
      <c r="H886">
        <v>42</v>
      </c>
      <c r="J886" s="2">
        <v>53829</v>
      </c>
      <c r="L886" t="s">
        <v>37</v>
      </c>
      <c r="M886" t="s">
        <v>111</v>
      </c>
      <c r="N886" s="2">
        <f>Employee_Data[[#This Row],[Basic Salary]]*10%</f>
        <v>448.57500000000005</v>
      </c>
      <c r="O886" s="4">
        <f>Employee_Data[[#This Row],[Basic Salary]]*7.5%</f>
        <v>336.43124999999998</v>
      </c>
      <c r="P886" s="2">
        <f>Employee_Data[[#This Row],[Basic Salary]]*3%</f>
        <v>134.57249999999999</v>
      </c>
      <c r="Q886" s="2">
        <f>SUM(Employee_Data[[#This Row],[Basic Salary]],Employee_Data[[#This Row],[HRA]],Employee_Data[[#This Row],[MA]],Employee_Data[[#This Row],[TA]])</f>
        <v>5405.3287499999997</v>
      </c>
      <c r="R886" s="4">
        <f>Employee_Data[[#This Row],[Basic Salary]]*12.5%</f>
        <v>560.71875</v>
      </c>
      <c r="S886" s="2">
        <f>Employee_Data[[#This Row],[Annual Salary]]/12</f>
        <v>4485.75</v>
      </c>
    </row>
    <row r="887" spans="1:19" x14ac:dyDescent="0.3">
      <c r="A887" t="s">
        <v>1831</v>
      </c>
      <c r="B887" t="s">
        <v>1832</v>
      </c>
      <c r="C887" t="s">
        <v>405</v>
      </c>
      <c r="D887" t="s">
        <v>30</v>
      </c>
      <c r="E887" t="s">
        <v>56</v>
      </c>
      <c r="F887" t="s">
        <v>42</v>
      </c>
      <c r="G887" t="s">
        <v>43</v>
      </c>
      <c r="H887">
        <v>65</v>
      </c>
      <c r="I887" s="1">
        <v>35753</v>
      </c>
      <c r="K887" s="3">
        <v>0</v>
      </c>
      <c r="M887" t="s">
        <v>183</v>
      </c>
      <c r="N887" s="2">
        <f>Employee_Data[[#This Row],[Basic Salary]]*10%</f>
        <v>0</v>
      </c>
      <c r="O887" s="4">
        <f>Employee_Data[[#This Row],[Basic Salary]]*7.5%</f>
        <v>0</v>
      </c>
      <c r="P887" s="2">
        <f>Employee_Data[[#This Row],[Basic Salary]]*3%</f>
        <v>0</v>
      </c>
      <c r="Q887" s="2">
        <f>SUM(Employee_Data[[#This Row],[Basic Salary]],Employee_Data[[#This Row],[HRA]],Employee_Data[[#This Row],[MA]],Employee_Data[[#This Row],[TA]])</f>
        <v>0</v>
      </c>
      <c r="R887" s="4">
        <f>Employee_Data[[#This Row],[Basic Salary]]*12.5%</f>
        <v>0</v>
      </c>
      <c r="S887" s="2">
        <f>Employee_Data[[#This Row],[Annual Salary]]/12</f>
        <v>0</v>
      </c>
    </row>
    <row r="888" spans="1:19" x14ac:dyDescent="0.3">
      <c r="A888" t="s">
        <v>1833</v>
      </c>
      <c r="B888" t="s">
        <v>1834</v>
      </c>
      <c r="C888" t="s">
        <v>83</v>
      </c>
      <c r="D888" t="s">
        <v>126</v>
      </c>
      <c r="E888" t="s">
        <v>56</v>
      </c>
      <c r="F888" t="s">
        <v>23</v>
      </c>
      <c r="G888" t="s">
        <v>24</v>
      </c>
      <c r="H888">
        <v>57</v>
      </c>
      <c r="I888" s="1">
        <v>40979</v>
      </c>
      <c r="J888" s="2">
        <v>136723</v>
      </c>
      <c r="M888" t="s">
        <v>48</v>
      </c>
      <c r="N888" s="2">
        <f>Employee_Data[[#This Row],[Basic Salary]]*10%</f>
        <v>1139.3583333333333</v>
      </c>
      <c r="O888" s="4">
        <f>Employee_Data[[#This Row],[Basic Salary]]*7.5%</f>
        <v>854.51875000000007</v>
      </c>
      <c r="P888" s="2">
        <f>Employee_Data[[#This Row],[Basic Salary]]*3%</f>
        <v>341.8075</v>
      </c>
      <c r="Q888" s="2">
        <f>SUM(Employee_Data[[#This Row],[Basic Salary]],Employee_Data[[#This Row],[HRA]],Employee_Data[[#This Row],[MA]],Employee_Data[[#This Row],[TA]])</f>
        <v>13729.267916666668</v>
      </c>
      <c r="R888" s="4">
        <f>Employee_Data[[#This Row],[Basic Salary]]*12.5%</f>
        <v>1424.1979166666667</v>
      </c>
      <c r="S888" s="2">
        <f>Employee_Data[[#This Row],[Annual Salary]]/12</f>
        <v>11393.583333333334</v>
      </c>
    </row>
    <row r="889" spans="1:19" x14ac:dyDescent="0.3">
      <c r="A889" t="s">
        <v>1835</v>
      </c>
      <c r="B889" t="s">
        <v>1836</v>
      </c>
      <c r="C889" t="s">
        <v>69</v>
      </c>
      <c r="D889" t="s">
        <v>55</v>
      </c>
      <c r="E889" t="s">
        <v>22</v>
      </c>
      <c r="F889" t="s">
        <v>42</v>
      </c>
      <c r="G889" t="s">
        <v>66</v>
      </c>
      <c r="H889">
        <v>44</v>
      </c>
      <c r="I889" s="1">
        <v>40187</v>
      </c>
      <c r="J889" s="2">
        <v>129099</v>
      </c>
      <c r="K889" s="3">
        <v>0.06</v>
      </c>
      <c r="L889" t="s">
        <v>25</v>
      </c>
      <c r="M889" t="s">
        <v>48</v>
      </c>
      <c r="N889" s="2">
        <f>Employee_Data[[#This Row],[Basic Salary]]*10%</f>
        <v>1075.825</v>
      </c>
      <c r="O889" s="4">
        <f>Employee_Data[[#This Row],[Basic Salary]]*7.5%</f>
        <v>806.86874999999998</v>
      </c>
      <c r="P889" s="2">
        <f>Employee_Data[[#This Row],[Basic Salary]]*3%</f>
        <v>322.7475</v>
      </c>
      <c r="Q889" s="2">
        <f>SUM(Employee_Data[[#This Row],[Basic Salary]],Employee_Data[[#This Row],[HRA]],Employee_Data[[#This Row],[MA]],Employee_Data[[#This Row],[TA]])</f>
        <v>12963.69125</v>
      </c>
      <c r="R889" s="4">
        <f>Employee_Data[[#This Row],[Basic Salary]]*12.5%</f>
        <v>1344.78125</v>
      </c>
      <c r="S889" s="2">
        <f>Employee_Data[[#This Row],[Annual Salary]]/12</f>
        <v>10758.25</v>
      </c>
    </row>
    <row r="890" spans="1:19" x14ac:dyDescent="0.3">
      <c r="A890" t="s">
        <v>1837</v>
      </c>
      <c r="B890" t="s">
        <v>1838</v>
      </c>
      <c r="C890" t="s">
        <v>159</v>
      </c>
      <c r="D890" t="s">
        <v>4</v>
      </c>
      <c r="E890" t="s">
        <v>31</v>
      </c>
      <c r="F890" t="s">
        <v>42</v>
      </c>
      <c r="G890" t="s">
        <v>43</v>
      </c>
      <c r="H890">
        <v>37</v>
      </c>
      <c r="I890" s="1">
        <v>42724</v>
      </c>
      <c r="J890" s="2">
        <v>59376</v>
      </c>
      <c r="K890" s="3">
        <v>0</v>
      </c>
      <c r="L890" t="s">
        <v>25</v>
      </c>
      <c r="M890" t="s">
        <v>70</v>
      </c>
      <c r="N890" s="2">
        <f>Employee_Data[[#This Row],[Basic Salary]]*10%</f>
        <v>494.8</v>
      </c>
      <c r="O890" s="4">
        <f>Employee_Data[[#This Row],[Basic Salary]]*7.5%</f>
        <v>371.09999999999997</v>
      </c>
      <c r="P890" s="2">
        <f>Employee_Data[[#This Row],[Basic Salary]]*3%</f>
        <v>148.44</v>
      </c>
      <c r="Q890" s="2">
        <f>SUM(Employee_Data[[#This Row],[Basic Salary]],Employee_Data[[#This Row],[HRA]],Employee_Data[[#This Row],[MA]],Employee_Data[[#This Row],[TA]])</f>
        <v>5962.34</v>
      </c>
      <c r="R890" s="4">
        <f>Employee_Data[[#This Row],[Basic Salary]]*12.5%</f>
        <v>618.5</v>
      </c>
      <c r="S890" s="2">
        <f>Employee_Data[[#This Row],[Annual Salary]]/12</f>
        <v>4948</v>
      </c>
    </row>
    <row r="891" spans="1:19" x14ac:dyDescent="0.3">
      <c r="A891" t="s">
        <v>1839</v>
      </c>
      <c r="B891" t="s">
        <v>1840</v>
      </c>
      <c r="C891" t="s">
        <v>65</v>
      </c>
      <c r="D891" t="s">
        <v>4</v>
      </c>
      <c r="E891" t="s">
        <v>36</v>
      </c>
      <c r="F891" t="s">
        <v>42</v>
      </c>
      <c r="G891" t="s">
        <v>24</v>
      </c>
      <c r="H891">
        <v>52</v>
      </c>
      <c r="I891" s="1">
        <v>43459</v>
      </c>
      <c r="J891" s="2">
        <v>98060</v>
      </c>
      <c r="K891" s="3">
        <v>0</v>
      </c>
      <c r="L891" t="s">
        <v>25</v>
      </c>
      <c r="M891" t="s">
        <v>70</v>
      </c>
      <c r="N891" s="2">
        <f>Employee_Data[[#This Row],[Basic Salary]]*10%</f>
        <v>817.16666666666674</v>
      </c>
      <c r="O891" s="4">
        <f>Employee_Data[[#This Row],[Basic Salary]]*7.5%</f>
        <v>612.875</v>
      </c>
      <c r="P891" s="2">
        <f>Employee_Data[[#This Row],[Basic Salary]]*3%</f>
        <v>245.15</v>
      </c>
      <c r="Q891" s="2">
        <f>SUM(Employee_Data[[#This Row],[Basic Salary]],Employee_Data[[#This Row],[HRA]],Employee_Data[[#This Row],[MA]],Employee_Data[[#This Row],[TA]])</f>
        <v>9846.8583333333336</v>
      </c>
      <c r="R891" s="4">
        <f>Employee_Data[[#This Row],[Basic Salary]]*12.5%</f>
        <v>1021.4583333333334</v>
      </c>
      <c r="S891" s="2">
        <f>Employee_Data[[#This Row],[Annual Salary]]/12</f>
        <v>8171.666666666667</v>
      </c>
    </row>
    <row r="892" spans="1:19" x14ac:dyDescent="0.3">
      <c r="A892" t="s">
        <v>1841</v>
      </c>
      <c r="B892" t="s">
        <v>1842</v>
      </c>
      <c r="C892" t="s">
        <v>83</v>
      </c>
      <c r="D892" t="s">
        <v>126</v>
      </c>
      <c r="E892" t="s">
        <v>31</v>
      </c>
      <c r="F892" t="s">
        <v>23</v>
      </c>
      <c r="G892" t="s">
        <v>43</v>
      </c>
      <c r="H892">
        <v>49</v>
      </c>
      <c r="I892" s="1">
        <v>41691</v>
      </c>
      <c r="J892" s="2">
        <v>152911</v>
      </c>
      <c r="K892" s="3">
        <v>0.1</v>
      </c>
      <c r="L892" t="s">
        <v>137</v>
      </c>
      <c r="M892" t="s">
        <v>138</v>
      </c>
      <c r="N892" s="2">
        <f>Employee_Data[[#This Row],[Basic Salary]]*10%</f>
        <v>1274.2583333333334</v>
      </c>
      <c r="O892" s="4">
        <f>Employee_Data[[#This Row],[Basic Salary]]*7.5%</f>
        <v>955.69375000000002</v>
      </c>
      <c r="P892" s="2">
        <f>Employee_Data[[#This Row],[Basic Salary]]*3%</f>
        <v>382.27750000000003</v>
      </c>
      <c r="Q892" s="2">
        <f>SUM(Employee_Data[[#This Row],[Basic Salary]],Employee_Data[[#This Row],[HRA]],Employee_Data[[#This Row],[MA]],Employee_Data[[#This Row],[TA]])</f>
        <v>15354.812916666668</v>
      </c>
      <c r="R892" s="4">
        <f>Employee_Data[[#This Row],[Basic Salary]]*12.5%</f>
        <v>1592.8229166666667</v>
      </c>
      <c r="S892" s="2">
        <f>Employee_Data[[#This Row],[Annual Salary]]/12</f>
        <v>12742.583333333334</v>
      </c>
    </row>
    <row r="893" spans="1:19" x14ac:dyDescent="0.3">
      <c r="A893" t="s">
        <v>1843</v>
      </c>
      <c r="B893" t="s">
        <v>1844</v>
      </c>
      <c r="C893" t="s">
        <v>73</v>
      </c>
      <c r="D893" t="s">
        <v>4</v>
      </c>
      <c r="E893" t="s">
        <v>36</v>
      </c>
      <c r="F893" t="s">
        <v>23</v>
      </c>
      <c r="G893" t="s">
        <v>43</v>
      </c>
      <c r="H893">
        <v>47</v>
      </c>
      <c r="I893" s="1">
        <v>37970</v>
      </c>
      <c r="J893" s="2">
        <v>42994</v>
      </c>
      <c r="K893" s="3">
        <v>0</v>
      </c>
      <c r="L893" t="s">
        <v>137</v>
      </c>
      <c r="M893" t="s">
        <v>183</v>
      </c>
      <c r="N893" s="2">
        <f>Employee_Data[[#This Row],[Basic Salary]]*10%</f>
        <v>358.28333333333336</v>
      </c>
      <c r="O893" s="4">
        <f>Employee_Data[[#This Row],[Basic Salary]]*7.5%</f>
        <v>268.71249999999998</v>
      </c>
      <c r="P893" s="2">
        <f>Employee_Data[[#This Row],[Basic Salary]]*3%</f>
        <v>107.485</v>
      </c>
      <c r="Q893" s="2">
        <f>SUM(Employee_Data[[#This Row],[Basic Salary]],Employee_Data[[#This Row],[HRA]],Employee_Data[[#This Row],[MA]],Employee_Data[[#This Row],[TA]])</f>
        <v>4317.3141666666661</v>
      </c>
      <c r="R893" s="4">
        <f>Employee_Data[[#This Row],[Basic Salary]]*12.5%</f>
        <v>447.85416666666669</v>
      </c>
      <c r="S893" s="2">
        <f>Employee_Data[[#This Row],[Annual Salary]]/12</f>
        <v>3582.8333333333335</v>
      </c>
    </row>
    <row r="894" spans="1:19" x14ac:dyDescent="0.3">
      <c r="A894" t="s">
        <v>1845</v>
      </c>
      <c r="B894" t="s">
        <v>1846</v>
      </c>
      <c r="C894" t="s">
        <v>29</v>
      </c>
      <c r="D894" t="s">
        <v>55</v>
      </c>
      <c r="E894" t="s">
        <v>22</v>
      </c>
      <c r="F894" t="s">
        <v>42</v>
      </c>
      <c r="G894" t="s">
        <v>24</v>
      </c>
      <c r="H894">
        <v>42</v>
      </c>
      <c r="I894" s="1">
        <v>43552</v>
      </c>
      <c r="J894" s="2">
        <v>59853</v>
      </c>
      <c r="K894" s="3">
        <v>0</v>
      </c>
      <c r="L894" t="s">
        <v>37</v>
      </c>
      <c r="M894" t="s">
        <v>62</v>
      </c>
      <c r="N894" s="2">
        <f>Employee_Data[[#This Row],[Basic Salary]]*10%</f>
        <v>498.77500000000003</v>
      </c>
      <c r="O894" s="4">
        <f>Employee_Data[[#This Row],[Basic Salary]]*7.5%</f>
        <v>374.08125000000001</v>
      </c>
      <c r="P894" s="2">
        <f>Employee_Data[[#This Row],[Basic Salary]]*3%</f>
        <v>149.63249999999999</v>
      </c>
      <c r="Q894" s="2">
        <f>SUM(Employee_Data[[#This Row],[Basic Salary]],Employee_Data[[#This Row],[HRA]],Employee_Data[[#This Row],[MA]],Employee_Data[[#This Row],[TA]])</f>
        <v>6010.2387499999995</v>
      </c>
      <c r="R894" s="4">
        <f>Employee_Data[[#This Row],[Basic Salary]]*12.5%</f>
        <v>623.46875</v>
      </c>
      <c r="S894" s="2">
        <f>Employee_Data[[#This Row],[Annual Salary]]/12</f>
        <v>4987.75</v>
      </c>
    </row>
    <row r="895" spans="1:19" x14ac:dyDescent="0.3">
      <c r="A895" t="s">
        <v>1847</v>
      </c>
      <c r="B895" t="s">
        <v>1848</v>
      </c>
      <c r="C895" t="s">
        <v>73</v>
      </c>
      <c r="D895" t="s">
        <v>4</v>
      </c>
      <c r="E895" t="s">
        <v>22</v>
      </c>
      <c r="F895" t="s">
        <v>23</v>
      </c>
      <c r="G895" t="s">
        <v>84</v>
      </c>
      <c r="H895">
        <v>61</v>
      </c>
      <c r="I895" s="1">
        <v>40884</v>
      </c>
      <c r="J895" s="2">
        <v>41220</v>
      </c>
      <c r="K895" s="3">
        <v>0</v>
      </c>
      <c r="L895" t="s">
        <v>25</v>
      </c>
      <c r="M895" t="s">
        <v>32</v>
      </c>
      <c r="N895" s="2">
        <f>Employee_Data[[#This Row],[Basic Salary]]*10%</f>
        <v>343.5</v>
      </c>
      <c r="O895" s="4">
        <f>Employee_Data[[#This Row],[Basic Salary]]*7.5%</f>
        <v>257.625</v>
      </c>
      <c r="P895" s="2">
        <f>Employee_Data[[#This Row],[Basic Salary]]*3%</f>
        <v>103.05</v>
      </c>
      <c r="Q895" s="2">
        <f>SUM(Employee_Data[[#This Row],[Basic Salary]],Employee_Data[[#This Row],[HRA]],Employee_Data[[#This Row],[MA]],Employee_Data[[#This Row],[TA]])</f>
        <v>4139.1750000000002</v>
      </c>
      <c r="R895" s="4">
        <f>Employee_Data[[#This Row],[Basic Salary]]*12.5%</f>
        <v>429.375</v>
      </c>
      <c r="S895" s="2">
        <f>Employee_Data[[#This Row],[Annual Salary]]/12</f>
        <v>3435</v>
      </c>
    </row>
    <row r="896" spans="1:19" x14ac:dyDescent="0.3">
      <c r="A896" t="s">
        <v>1849</v>
      </c>
      <c r="B896" t="s">
        <v>1850</v>
      </c>
      <c r="C896" t="s">
        <v>54</v>
      </c>
      <c r="D896" t="s">
        <v>55</v>
      </c>
      <c r="E896" t="s">
        <v>31</v>
      </c>
      <c r="F896" t="s">
        <v>42</v>
      </c>
      <c r="G896" t="s">
        <v>24</v>
      </c>
      <c r="H896">
        <v>33</v>
      </c>
      <c r="I896" s="1">
        <v>43879</v>
      </c>
      <c r="J896" s="2">
        <v>97261</v>
      </c>
      <c r="K896" s="3">
        <v>0</v>
      </c>
      <c r="L896" t="s">
        <v>37</v>
      </c>
      <c r="M896" t="s">
        <v>111</v>
      </c>
      <c r="N896" s="2">
        <f>Employee_Data[[#This Row],[Basic Salary]]*10%</f>
        <v>810.50833333333333</v>
      </c>
      <c r="O896" s="4">
        <f>Employee_Data[[#This Row],[Basic Salary]]*7.5%</f>
        <v>607.88124999999991</v>
      </c>
      <c r="P896" s="2">
        <f>Employee_Data[[#This Row],[Basic Salary]]*3%</f>
        <v>243.15249999999997</v>
      </c>
      <c r="Q896" s="2">
        <f>SUM(Employee_Data[[#This Row],[Basic Salary]],Employee_Data[[#This Row],[HRA]],Employee_Data[[#This Row],[MA]],Employee_Data[[#This Row],[TA]])</f>
        <v>9766.6254166666677</v>
      </c>
      <c r="R896" s="4">
        <f>Employee_Data[[#This Row],[Basic Salary]]*12.5%</f>
        <v>1013.1354166666666</v>
      </c>
      <c r="S896" s="2">
        <f>Employee_Data[[#This Row],[Annual Salary]]/12</f>
        <v>8105.083333333333</v>
      </c>
    </row>
    <row r="897" spans="1:19" x14ac:dyDescent="0.3">
      <c r="A897" t="s">
        <v>1851</v>
      </c>
      <c r="B897" t="s">
        <v>1852</v>
      </c>
      <c r="C897" t="s">
        <v>69</v>
      </c>
      <c r="D897" t="s">
        <v>126</v>
      </c>
      <c r="E897" t="s">
        <v>22</v>
      </c>
      <c r="F897" t="s">
        <v>23</v>
      </c>
      <c r="G897" t="s">
        <v>84</v>
      </c>
      <c r="H897">
        <v>45</v>
      </c>
      <c r="I897" s="1">
        <v>43300</v>
      </c>
      <c r="J897" s="2">
        <v>127363</v>
      </c>
      <c r="K897" s="3">
        <v>0.09</v>
      </c>
      <c r="L897" t="s">
        <v>25</v>
      </c>
      <c r="M897" t="s">
        <v>26</v>
      </c>
      <c r="N897" s="2">
        <f>Employee_Data[[#This Row],[Basic Salary]]*10%</f>
        <v>1061.3583333333333</v>
      </c>
      <c r="O897" s="4">
        <f>Employee_Data[[#This Row],[Basic Salary]]*7.5%</f>
        <v>796.01875000000007</v>
      </c>
      <c r="P897" s="2">
        <f>Employee_Data[[#This Row],[Basic Salary]]*3%</f>
        <v>318.40750000000003</v>
      </c>
      <c r="Q897" s="2">
        <f>SUM(Employee_Data[[#This Row],[Basic Salary]],Employee_Data[[#This Row],[HRA]],Employee_Data[[#This Row],[MA]],Employee_Data[[#This Row],[TA]])</f>
        <v>12789.367916666666</v>
      </c>
      <c r="R897" s="4">
        <f>Employee_Data[[#This Row],[Basic Salary]]*12.5%</f>
        <v>1326.6979166666667</v>
      </c>
      <c r="S897" s="2">
        <f>Employee_Data[[#This Row],[Annual Salary]]/12</f>
        <v>10613.583333333334</v>
      </c>
    </row>
    <row r="898" spans="1:19" x14ac:dyDescent="0.3">
      <c r="A898" t="s">
        <v>1853</v>
      </c>
      <c r="B898" t="s">
        <v>1854</v>
      </c>
      <c r="C898" t="s">
        <v>69</v>
      </c>
      <c r="D898" t="s">
        <v>80</v>
      </c>
      <c r="E898" t="s">
        <v>56</v>
      </c>
      <c r="F898" t="s">
        <v>23</v>
      </c>
      <c r="G898" t="s">
        <v>66</v>
      </c>
      <c r="H898">
        <v>30</v>
      </c>
      <c r="I898" s="1">
        <v>43751</v>
      </c>
      <c r="J898" s="2">
        <v>111274</v>
      </c>
      <c r="K898" s="3">
        <v>0.06</v>
      </c>
      <c r="L898" t="s">
        <v>25</v>
      </c>
      <c r="M898" t="s">
        <v>44</v>
      </c>
      <c r="N898" s="2">
        <f>Employee_Data[[#This Row],[Basic Salary]]*10%</f>
        <v>927.28333333333342</v>
      </c>
      <c r="O898" s="4">
        <f>Employee_Data[[#This Row],[Basic Salary]]*7.5%</f>
        <v>695.46249999999998</v>
      </c>
      <c r="P898" s="2">
        <f>Employee_Data[[#This Row],[Basic Salary]]*3%</f>
        <v>278.185</v>
      </c>
      <c r="Q898" s="2">
        <f>SUM(Employee_Data[[#This Row],[Basic Salary]],Employee_Data[[#This Row],[HRA]],Employee_Data[[#This Row],[MA]],Employee_Data[[#This Row],[TA]])</f>
        <v>11173.764166666666</v>
      </c>
      <c r="R898" s="4">
        <f>Employee_Data[[#This Row],[Basic Salary]]*12.5%</f>
        <v>1159.1041666666667</v>
      </c>
      <c r="S898" s="2">
        <f>Employee_Data[[#This Row],[Annual Salary]]/12</f>
        <v>9272.8333333333339</v>
      </c>
    </row>
    <row r="899" spans="1:19" x14ac:dyDescent="0.3">
      <c r="A899" t="s">
        <v>1855</v>
      </c>
      <c r="B899" t="s">
        <v>1856</v>
      </c>
      <c r="C899" t="s">
        <v>180</v>
      </c>
      <c r="D899" t="s">
        <v>4</v>
      </c>
      <c r="E899" t="s">
        <v>31</v>
      </c>
      <c r="F899" t="s">
        <v>23</v>
      </c>
      <c r="G899" t="s">
        <v>43</v>
      </c>
      <c r="H899">
        <v>53</v>
      </c>
      <c r="I899" s="1">
        <v>43207</v>
      </c>
      <c r="J899" s="2">
        <v>90554</v>
      </c>
      <c r="K899" s="3">
        <v>7.0000000000000007E-2</v>
      </c>
      <c r="L899" t="s">
        <v>137</v>
      </c>
      <c r="M899" t="s">
        <v>138</v>
      </c>
      <c r="N899" s="2">
        <f>Employee_Data[[#This Row],[Basic Salary]]*10%</f>
        <v>754.61666666666679</v>
      </c>
      <c r="O899" s="4">
        <f>Employee_Data[[#This Row],[Basic Salary]]*7.5%</f>
        <v>565.96249999999998</v>
      </c>
      <c r="P899" s="2">
        <f>Employee_Data[[#This Row],[Basic Salary]]*3%</f>
        <v>226.38499999999999</v>
      </c>
      <c r="Q899" s="2">
        <f>SUM(Employee_Data[[#This Row],[Basic Salary]],Employee_Data[[#This Row],[HRA]],Employee_Data[[#This Row],[MA]],Employee_Data[[#This Row],[TA]])</f>
        <v>9093.1308333333327</v>
      </c>
      <c r="R899" s="4">
        <f>Employee_Data[[#This Row],[Basic Salary]]*12.5%</f>
        <v>943.27083333333337</v>
      </c>
      <c r="S899" s="2">
        <f>Employee_Data[[#This Row],[Annual Salary]]/12</f>
        <v>7546.166666666667</v>
      </c>
    </row>
    <row r="900" spans="1:19" x14ac:dyDescent="0.3">
      <c r="A900" t="s">
        <v>1857</v>
      </c>
      <c r="B900" t="s">
        <v>1858</v>
      </c>
      <c r="C900" t="s">
        <v>69</v>
      </c>
      <c r="D900" t="s">
        <v>61</v>
      </c>
      <c r="E900" t="s">
        <v>36</v>
      </c>
      <c r="F900" t="s">
        <v>23</v>
      </c>
      <c r="G900" t="s">
        <v>43</v>
      </c>
      <c r="H900">
        <v>62</v>
      </c>
      <c r="I900" s="1">
        <v>35776</v>
      </c>
      <c r="J900" s="2">
        <v>100226</v>
      </c>
      <c r="K900" s="3">
        <v>0.1</v>
      </c>
      <c r="L900" t="s">
        <v>25</v>
      </c>
      <c r="M900" t="s">
        <v>44</v>
      </c>
      <c r="N900" s="2">
        <f>Employee_Data[[#This Row],[Basic Salary]]*10%</f>
        <v>835.2166666666667</v>
      </c>
      <c r="O900" s="4">
        <f>Employee_Data[[#This Row],[Basic Salary]]*7.5%</f>
        <v>626.41249999999991</v>
      </c>
      <c r="P900" s="2">
        <f>Employee_Data[[#This Row],[Basic Salary]]*3%</f>
        <v>250.56499999999997</v>
      </c>
      <c r="Q900" s="2">
        <f>SUM(Employee_Data[[#This Row],[Basic Salary]],Employee_Data[[#This Row],[HRA]],Employee_Data[[#This Row],[MA]],Employee_Data[[#This Row],[TA]])</f>
        <v>10064.360833333334</v>
      </c>
      <c r="R900" s="4">
        <f>Employee_Data[[#This Row],[Basic Salary]]*12.5%</f>
        <v>1044.0208333333333</v>
      </c>
      <c r="S900" s="2">
        <f>Employee_Data[[#This Row],[Annual Salary]]/12</f>
        <v>8352.1666666666661</v>
      </c>
    </row>
    <row r="901" spans="1:19" x14ac:dyDescent="0.3">
      <c r="A901" t="s">
        <v>1859</v>
      </c>
      <c r="B901" t="s">
        <v>1860</v>
      </c>
      <c r="C901" t="s">
        <v>292</v>
      </c>
      <c r="D901" t="s">
        <v>21</v>
      </c>
      <c r="E901" t="s">
        <v>22</v>
      </c>
      <c r="F901" t="s">
        <v>42</v>
      </c>
      <c r="G901" t="s">
        <v>24</v>
      </c>
      <c r="H901">
        <v>37</v>
      </c>
      <c r="I901" s="1">
        <v>42846</v>
      </c>
      <c r="J901" s="2">
        <v>93348</v>
      </c>
      <c r="K901" s="3">
        <v>0</v>
      </c>
      <c r="L901" t="s">
        <v>37</v>
      </c>
      <c r="M901" t="s">
        <v>57</v>
      </c>
      <c r="N901" s="2">
        <f>Employee_Data[[#This Row],[Basic Salary]]*10%</f>
        <v>777.90000000000009</v>
      </c>
      <c r="O901" s="4">
        <f>Employee_Data[[#This Row],[Basic Salary]]*7.5%</f>
        <v>583.42499999999995</v>
      </c>
      <c r="P901" s="2">
        <f>Employee_Data[[#This Row],[Basic Salary]]*3%</f>
        <v>233.37</v>
      </c>
      <c r="Q901" s="2">
        <f>SUM(Employee_Data[[#This Row],[Basic Salary]],Employee_Data[[#This Row],[HRA]],Employee_Data[[#This Row],[MA]],Employee_Data[[#This Row],[TA]])</f>
        <v>9373.6949999999997</v>
      </c>
      <c r="R901" s="4">
        <f>Employee_Data[[#This Row],[Basic Salary]]*12.5%</f>
        <v>972.375</v>
      </c>
      <c r="S901" s="2">
        <f>Employee_Data[[#This Row],[Annual Salary]]/12</f>
        <v>7779</v>
      </c>
    </row>
    <row r="902" spans="1:19" x14ac:dyDescent="0.3">
      <c r="A902" t="s">
        <v>1861</v>
      </c>
      <c r="B902" t="s">
        <v>1862</v>
      </c>
      <c r="C902" t="s">
        <v>355</v>
      </c>
      <c r="D902" t="s">
        <v>4</v>
      </c>
      <c r="E902" t="s">
        <v>36</v>
      </c>
      <c r="G902" t="s">
        <v>43</v>
      </c>
      <c r="H902">
        <v>62</v>
      </c>
      <c r="I902" s="1">
        <v>34145</v>
      </c>
      <c r="J902" s="2">
        <v>78059</v>
      </c>
      <c r="K902" s="3">
        <v>0</v>
      </c>
      <c r="L902" t="s">
        <v>25</v>
      </c>
      <c r="M902" t="s">
        <v>51</v>
      </c>
      <c r="N902" s="2">
        <f>Employee_Data[[#This Row],[Basic Salary]]*10%</f>
        <v>650.49166666666679</v>
      </c>
      <c r="O902" s="4">
        <f>Employee_Data[[#This Row],[Basic Salary]]*7.5%</f>
        <v>487.86874999999998</v>
      </c>
      <c r="P902" s="2">
        <f>Employee_Data[[#This Row],[Basic Salary]]*3%</f>
        <v>195.14750000000001</v>
      </c>
      <c r="Q902" s="2">
        <f>SUM(Employee_Data[[#This Row],[Basic Salary]],Employee_Data[[#This Row],[HRA]],Employee_Data[[#This Row],[MA]],Employee_Data[[#This Row],[TA]])</f>
        <v>7838.4245833333334</v>
      </c>
      <c r="R902" s="4">
        <f>Employee_Data[[#This Row],[Basic Salary]]*12.5%</f>
        <v>813.11458333333337</v>
      </c>
      <c r="S902" s="2">
        <f>Employee_Data[[#This Row],[Annual Salary]]/12</f>
        <v>6504.916666666667</v>
      </c>
    </row>
    <row r="903" spans="1:19" x14ac:dyDescent="0.3">
      <c r="A903" t="s">
        <v>1863</v>
      </c>
      <c r="B903" t="s">
        <v>1864</v>
      </c>
      <c r="C903" t="s">
        <v>131</v>
      </c>
      <c r="D903" t="s">
        <v>126</v>
      </c>
      <c r="E903" t="s">
        <v>36</v>
      </c>
      <c r="G903" t="s">
        <v>43</v>
      </c>
      <c r="H903">
        <v>63</v>
      </c>
      <c r="I903" s="1">
        <v>37071</v>
      </c>
      <c r="J903" s="2">
        <v>58480</v>
      </c>
      <c r="K903" s="3">
        <v>0</v>
      </c>
      <c r="L903" t="s">
        <v>137</v>
      </c>
      <c r="M903" t="s">
        <v>289</v>
      </c>
      <c r="N903" s="2">
        <f>Employee_Data[[#This Row],[Basic Salary]]*10%</f>
        <v>487.33333333333331</v>
      </c>
      <c r="O903" s="4">
        <f>Employee_Data[[#This Row],[Basic Salary]]*7.5%</f>
        <v>365.49999999999994</v>
      </c>
      <c r="P903" s="2">
        <f>Employee_Data[[#This Row],[Basic Salary]]*3%</f>
        <v>146.19999999999999</v>
      </c>
      <c r="Q903" s="2">
        <f>SUM(Employee_Data[[#This Row],[Basic Salary]],Employee_Data[[#This Row],[HRA]],Employee_Data[[#This Row],[MA]],Employee_Data[[#This Row],[TA]])</f>
        <v>5872.3666666666659</v>
      </c>
      <c r="R903" s="4">
        <f>Employee_Data[[#This Row],[Basic Salary]]*12.5%</f>
        <v>609.16666666666663</v>
      </c>
      <c r="S903" s="2">
        <f>Employee_Data[[#This Row],[Annual Salary]]/12</f>
        <v>4873.333333333333</v>
      </c>
    </row>
    <row r="904" spans="1:19" x14ac:dyDescent="0.3">
      <c r="A904" t="s">
        <v>1865</v>
      </c>
      <c r="B904" t="s">
        <v>1866</v>
      </c>
      <c r="C904" t="s">
        <v>89</v>
      </c>
      <c r="D904" t="s">
        <v>61</v>
      </c>
      <c r="E904" t="s">
        <v>31</v>
      </c>
      <c r="G904" t="s">
        <v>24</v>
      </c>
      <c r="H904">
        <v>39</v>
      </c>
      <c r="I904" s="1">
        <v>42849</v>
      </c>
      <c r="J904" s="2">
        <v>218052</v>
      </c>
      <c r="K904" s="3">
        <v>0.39</v>
      </c>
      <c r="L904" t="s">
        <v>37</v>
      </c>
      <c r="M904" t="s">
        <v>62</v>
      </c>
      <c r="N904" s="2">
        <f>Employee_Data[[#This Row],[Basic Salary]]*10%</f>
        <v>1817.1000000000001</v>
      </c>
      <c r="O904" s="4">
        <f>Employee_Data[[#This Row],[Basic Salary]]*7.5%</f>
        <v>1362.825</v>
      </c>
      <c r="P904" s="2">
        <f>Employee_Data[[#This Row],[Basic Salary]]*3%</f>
        <v>545.13</v>
      </c>
      <c r="Q904" s="2">
        <f>SUM(Employee_Data[[#This Row],[Basic Salary]],Employee_Data[[#This Row],[HRA]],Employee_Data[[#This Row],[MA]],Employee_Data[[#This Row],[TA]])</f>
        <v>21896.055</v>
      </c>
      <c r="R904" s="4">
        <f>Employee_Data[[#This Row],[Basic Salary]]*12.5%</f>
        <v>2271.375</v>
      </c>
      <c r="S904" s="2">
        <f>Employee_Data[[#This Row],[Annual Salary]]/12</f>
        <v>18171</v>
      </c>
    </row>
    <row r="905" spans="1:19" x14ac:dyDescent="0.3">
      <c r="A905" t="s">
        <v>1867</v>
      </c>
      <c r="B905" t="s">
        <v>1868</v>
      </c>
      <c r="C905" t="s">
        <v>69</v>
      </c>
      <c r="D905" t="s">
        <v>55</v>
      </c>
      <c r="E905" t="s">
        <v>22</v>
      </c>
      <c r="H905">
        <v>52</v>
      </c>
      <c r="I905" s="1">
        <v>37399</v>
      </c>
      <c r="K905" s="3">
        <v>0.09</v>
      </c>
      <c r="L905" t="s">
        <v>25</v>
      </c>
      <c r="M905" t="s">
        <v>70</v>
      </c>
      <c r="N905" s="2">
        <f>Employee_Data[[#This Row],[Basic Salary]]*10%</f>
        <v>0</v>
      </c>
      <c r="O905" s="4">
        <f>Employee_Data[[#This Row],[Basic Salary]]*7.5%</f>
        <v>0</v>
      </c>
      <c r="P905" s="2">
        <f>Employee_Data[[#This Row],[Basic Salary]]*3%</f>
        <v>0</v>
      </c>
      <c r="Q905" s="2">
        <f>SUM(Employee_Data[[#This Row],[Basic Salary]],Employee_Data[[#This Row],[HRA]],Employee_Data[[#This Row],[MA]],Employee_Data[[#This Row],[TA]])</f>
        <v>0</v>
      </c>
      <c r="R905" s="4">
        <f>Employee_Data[[#This Row],[Basic Salary]]*12.5%</f>
        <v>0</v>
      </c>
      <c r="S905" s="2">
        <f>Employee_Data[[#This Row],[Annual Salary]]/12</f>
        <v>0</v>
      </c>
    </row>
    <row r="906" spans="1:19" x14ac:dyDescent="0.3">
      <c r="A906" t="s">
        <v>1869</v>
      </c>
      <c r="B906" t="s">
        <v>1870</v>
      </c>
      <c r="C906" t="s">
        <v>47</v>
      </c>
      <c r="D906" t="s">
        <v>80</v>
      </c>
      <c r="E906" t="s">
        <v>56</v>
      </c>
      <c r="H906">
        <v>54</v>
      </c>
      <c r="I906" s="1">
        <v>40461</v>
      </c>
      <c r="L906" t="s">
        <v>37</v>
      </c>
      <c r="M906" t="s">
        <v>57</v>
      </c>
      <c r="N906" s="2">
        <f>Employee_Data[[#This Row],[Basic Salary]]*10%</f>
        <v>0</v>
      </c>
      <c r="O906" s="4">
        <f>Employee_Data[[#This Row],[Basic Salary]]*7.5%</f>
        <v>0</v>
      </c>
      <c r="P906" s="2">
        <f>Employee_Data[[#This Row],[Basic Salary]]*3%</f>
        <v>0</v>
      </c>
      <c r="Q906" s="2">
        <f>SUM(Employee_Data[[#This Row],[Basic Salary]],Employee_Data[[#This Row],[HRA]],Employee_Data[[#This Row],[MA]],Employee_Data[[#This Row],[TA]])</f>
        <v>0</v>
      </c>
      <c r="R906" s="4">
        <f>Employee_Data[[#This Row],[Basic Salary]]*12.5%</f>
        <v>0</v>
      </c>
      <c r="S906" s="2">
        <f>Employee_Data[[#This Row],[Annual Salary]]/12</f>
        <v>0</v>
      </c>
    </row>
    <row r="907" spans="1:19" x14ac:dyDescent="0.3">
      <c r="A907" t="s">
        <v>1871</v>
      </c>
      <c r="B907" t="s">
        <v>1872</v>
      </c>
      <c r="C907" t="s">
        <v>89</v>
      </c>
      <c r="D907" t="s">
        <v>80</v>
      </c>
      <c r="E907" t="s">
        <v>31</v>
      </c>
      <c r="H907">
        <v>32</v>
      </c>
      <c r="I907" s="1">
        <v>42067</v>
      </c>
      <c r="J907" s="2">
        <v>241722</v>
      </c>
      <c r="L907" t="s">
        <v>25</v>
      </c>
      <c r="M907" t="s">
        <v>32</v>
      </c>
      <c r="N907" s="2">
        <f>Employee_Data[[#This Row],[Basic Salary]]*10%</f>
        <v>2014.3500000000001</v>
      </c>
      <c r="O907" s="4">
        <f>Employee_Data[[#This Row],[Basic Salary]]*7.5%</f>
        <v>1510.7625</v>
      </c>
      <c r="P907" s="2">
        <f>Employee_Data[[#This Row],[Basic Salary]]*3%</f>
        <v>604.30499999999995</v>
      </c>
      <c r="Q907" s="2">
        <f>SUM(Employee_Data[[#This Row],[Basic Salary]],Employee_Data[[#This Row],[HRA]],Employee_Data[[#This Row],[MA]],Employee_Data[[#This Row],[TA]])</f>
        <v>24272.9175</v>
      </c>
      <c r="R907" s="4">
        <f>Employee_Data[[#This Row],[Basic Salary]]*12.5%</f>
        <v>2517.9375</v>
      </c>
      <c r="S907" s="2">
        <f>Employee_Data[[#This Row],[Annual Salary]]/12</f>
        <v>20143.5</v>
      </c>
    </row>
    <row r="908" spans="1:19" x14ac:dyDescent="0.3">
      <c r="A908" t="s">
        <v>1873</v>
      </c>
      <c r="B908" t="s">
        <v>1874</v>
      </c>
      <c r="C908" t="s">
        <v>227</v>
      </c>
      <c r="D908" t="s">
        <v>4</v>
      </c>
      <c r="E908" t="s">
        <v>31</v>
      </c>
      <c r="H908">
        <v>56</v>
      </c>
      <c r="I908" s="1">
        <v>43171</v>
      </c>
      <c r="J908" s="2">
        <v>91835</v>
      </c>
      <c r="K908" s="3">
        <v>0</v>
      </c>
      <c r="L908" t="s">
        <v>25</v>
      </c>
      <c r="M908" t="s">
        <v>44</v>
      </c>
      <c r="N908" s="2">
        <f>Employee_Data[[#This Row],[Basic Salary]]*10%</f>
        <v>765.29166666666674</v>
      </c>
      <c r="O908" s="4">
        <f>Employee_Data[[#This Row],[Basic Salary]]*7.5%</f>
        <v>573.96875</v>
      </c>
      <c r="P908" s="2">
        <f>Employee_Data[[#This Row],[Basic Salary]]*3%</f>
        <v>229.58750000000001</v>
      </c>
      <c r="Q908" s="2">
        <f>SUM(Employee_Data[[#This Row],[Basic Salary]],Employee_Data[[#This Row],[HRA]],Employee_Data[[#This Row],[MA]],Employee_Data[[#This Row],[TA]])</f>
        <v>9221.7645833333336</v>
      </c>
      <c r="R908" s="4">
        <f>Employee_Data[[#This Row],[Basic Salary]]*12.5%</f>
        <v>956.61458333333337</v>
      </c>
      <c r="S908" s="2">
        <f>Employee_Data[[#This Row],[Annual Salary]]/12</f>
        <v>7652.916666666667</v>
      </c>
    </row>
    <row r="909" spans="1:19" x14ac:dyDescent="0.3">
      <c r="A909" t="s">
        <v>1875</v>
      </c>
      <c r="B909" t="s">
        <v>1876</v>
      </c>
      <c r="C909" t="s">
        <v>54</v>
      </c>
      <c r="D909" t="s">
        <v>30</v>
      </c>
      <c r="E909" t="s">
        <v>22</v>
      </c>
      <c r="H909">
        <v>47</v>
      </c>
      <c r="I909" s="1">
        <v>40550</v>
      </c>
      <c r="J909" s="2">
        <v>93910</v>
      </c>
      <c r="L909" t="s">
        <v>25</v>
      </c>
      <c r="M909" t="s">
        <v>70</v>
      </c>
      <c r="N909" s="2">
        <f>Employee_Data[[#This Row],[Basic Salary]]*10%</f>
        <v>782.58333333333337</v>
      </c>
      <c r="O909" s="4">
        <f>Employee_Data[[#This Row],[Basic Salary]]*7.5%</f>
        <v>586.9375</v>
      </c>
      <c r="P909" s="2">
        <f>Employee_Data[[#This Row],[Basic Salary]]*3%</f>
        <v>234.77499999999998</v>
      </c>
      <c r="Q909" s="2">
        <f>SUM(Employee_Data[[#This Row],[Basic Salary]],Employee_Data[[#This Row],[HRA]],Employee_Data[[#This Row],[MA]],Employee_Data[[#This Row],[TA]])</f>
        <v>9430.1291666666657</v>
      </c>
      <c r="R909" s="4">
        <f>Employee_Data[[#This Row],[Basic Salary]]*12.5%</f>
        <v>978.22916666666663</v>
      </c>
      <c r="S909" s="2">
        <f>Employee_Data[[#This Row],[Annual Salary]]/12</f>
        <v>7825.833333333333</v>
      </c>
    </row>
    <row r="910" spans="1:19" x14ac:dyDescent="0.3">
      <c r="A910" t="s">
        <v>1877</v>
      </c>
      <c r="B910" t="s">
        <v>1878</v>
      </c>
      <c r="C910" t="s">
        <v>54</v>
      </c>
      <c r="D910" t="s">
        <v>30</v>
      </c>
      <c r="E910" t="s">
        <v>36</v>
      </c>
      <c r="H910">
        <v>45</v>
      </c>
      <c r="I910" s="1">
        <v>38674</v>
      </c>
      <c r="J910" s="2">
        <v>86303</v>
      </c>
      <c r="L910" t="s">
        <v>25</v>
      </c>
      <c r="M910" t="s">
        <v>51</v>
      </c>
      <c r="N910" s="2">
        <f>Employee_Data[[#This Row],[Basic Salary]]*10%</f>
        <v>719.19166666666672</v>
      </c>
      <c r="O910" s="4">
        <f>Employee_Data[[#This Row],[Basic Salary]]*7.5%</f>
        <v>539.39374999999995</v>
      </c>
      <c r="P910" s="2">
        <f>Employee_Data[[#This Row],[Basic Salary]]*3%</f>
        <v>215.75749999999999</v>
      </c>
      <c r="Q910" s="2">
        <f>SUM(Employee_Data[[#This Row],[Basic Salary]],Employee_Data[[#This Row],[HRA]],Employee_Data[[#This Row],[MA]],Employee_Data[[#This Row],[TA]])</f>
        <v>8666.2595833333326</v>
      </c>
      <c r="R910" s="4">
        <f>Employee_Data[[#This Row],[Basic Salary]]*12.5%</f>
        <v>898.98958333333337</v>
      </c>
      <c r="S910" s="2">
        <f>Employee_Data[[#This Row],[Annual Salary]]/12</f>
        <v>7191.916666666667</v>
      </c>
    </row>
    <row r="911" spans="1:19" x14ac:dyDescent="0.3">
      <c r="A911" t="s">
        <v>1879</v>
      </c>
      <c r="B911" t="s">
        <v>1880</v>
      </c>
      <c r="C911" t="s">
        <v>83</v>
      </c>
      <c r="D911" t="s">
        <v>61</v>
      </c>
      <c r="E911" t="s">
        <v>31</v>
      </c>
      <c r="H911">
        <v>56</v>
      </c>
      <c r="I911" s="1">
        <v>34820</v>
      </c>
      <c r="J911" s="2">
        <v>122731</v>
      </c>
      <c r="L911" t="s">
        <v>25</v>
      </c>
      <c r="M911" t="s">
        <v>44</v>
      </c>
      <c r="N911" s="2">
        <f>Employee_Data[[#This Row],[Basic Salary]]*10%</f>
        <v>1022.7583333333334</v>
      </c>
      <c r="O911" s="4">
        <f>Employee_Data[[#This Row],[Basic Salary]]*7.5%</f>
        <v>767.06875000000002</v>
      </c>
      <c r="P911" s="2">
        <f>Employee_Data[[#This Row],[Basic Salary]]*3%</f>
        <v>306.82749999999999</v>
      </c>
      <c r="Q911" s="2">
        <f>SUM(Employee_Data[[#This Row],[Basic Salary]],Employee_Data[[#This Row],[HRA]],Employee_Data[[#This Row],[MA]],Employee_Data[[#This Row],[TA]])</f>
        <v>12324.237916666667</v>
      </c>
      <c r="R911" s="4">
        <f>Employee_Data[[#This Row],[Basic Salary]]*12.5%</f>
        <v>1278.4479166666667</v>
      </c>
      <c r="S911" s="2">
        <f>Employee_Data[[#This Row],[Annual Salary]]/12</f>
        <v>10227.583333333334</v>
      </c>
    </row>
    <row r="912" spans="1:19" x14ac:dyDescent="0.3">
      <c r="A912" t="s">
        <v>1881</v>
      </c>
      <c r="B912" t="s">
        <v>1882</v>
      </c>
      <c r="C912" t="s">
        <v>83</v>
      </c>
      <c r="D912" t="s">
        <v>61</v>
      </c>
      <c r="E912" t="s">
        <v>31</v>
      </c>
      <c r="H912">
        <v>38</v>
      </c>
      <c r="I912" s="1">
        <v>43463</v>
      </c>
      <c r="J912" s="2">
        <v>147867</v>
      </c>
      <c r="K912" s="3">
        <v>0.12</v>
      </c>
      <c r="M912" t="s">
        <v>70</v>
      </c>
      <c r="N912" s="2">
        <f>Employee_Data[[#This Row],[Basic Salary]]*10%</f>
        <v>1232.2250000000001</v>
      </c>
      <c r="O912" s="4">
        <f>Employee_Data[[#This Row],[Basic Salary]]*7.5%</f>
        <v>924.16874999999993</v>
      </c>
      <c r="P912" s="2">
        <f>Employee_Data[[#This Row],[Basic Salary]]*3%</f>
        <v>369.66749999999996</v>
      </c>
      <c r="Q912" s="2">
        <f>SUM(Employee_Data[[#This Row],[Basic Salary]],Employee_Data[[#This Row],[HRA]],Employee_Data[[#This Row],[MA]],Employee_Data[[#This Row],[TA]])</f>
        <v>14848.311250000001</v>
      </c>
      <c r="R912" s="4">
        <f>Employee_Data[[#This Row],[Basic Salary]]*12.5%</f>
        <v>1540.28125</v>
      </c>
      <c r="S912" s="2">
        <f>Employee_Data[[#This Row],[Annual Salary]]/12</f>
        <v>12322.25</v>
      </c>
    </row>
    <row r="913" spans="1:19" x14ac:dyDescent="0.3">
      <c r="A913" t="s">
        <v>1883</v>
      </c>
      <c r="B913" t="s">
        <v>1884</v>
      </c>
      <c r="C913" t="s">
        <v>69</v>
      </c>
      <c r="D913" t="s">
        <v>126</v>
      </c>
      <c r="E913" t="s">
        <v>36</v>
      </c>
      <c r="H913">
        <v>47</v>
      </c>
      <c r="I913" s="1">
        <v>38229</v>
      </c>
      <c r="J913" s="2">
        <v>123790</v>
      </c>
      <c r="K913" s="3">
        <v>0.05</v>
      </c>
      <c r="M913" t="s">
        <v>48</v>
      </c>
      <c r="N913" s="2">
        <f>Employee_Data[[#This Row],[Basic Salary]]*10%</f>
        <v>1031.5833333333335</v>
      </c>
      <c r="O913" s="4">
        <f>Employee_Data[[#This Row],[Basic Salary]]*7.5%</f>
        <v>773.6875</v>
      </c>
      <c r="P913" s="2">
        <f>Employee_Data[[#This Row],[Basic Salary]]*3%</f>
        <v>309.47500000000002</v>
      </c>
      <c r="Q913" s="2">
        <f>SUM(Employee_Data[[#This Row],[Basic Salary]],Employee_Data[[#This Row],[HRA]],Employee_Data[[#This Row],[MA]],Employee_Data[[#This Row],[TA]])</f>
        <v>12430.579166666668</v>
      </c>
      <c r="R913" s="4">
        <f>Employee_Data[[#This Row],[Basic Salary]]*12.5%</f>
        <v>1289.4791666666667</v>
      </c>
      <c r="S913" s="2">
        <f>Employee_Data[[#This Row],[Annual Salary]]/12</f>
        <v>10315.833333333334</v>
      </c>
    </row>
    <row r="914" spans="1:19" x14ac:dyDescent="0.3">
      <c r="A914" t="s">
        <v>1885</v>
      </c>
      <c r="B914" t="s">
        <v>1886</v>
      </c>
      <c r="C914" t="s">
        <v>232</v>
      </c>
      <c r="D914" t="s">
        <v>126</v>
      </c>
      <c r="E914" t="s">
        <v>56</v>
      </c>
      <c r="H914">
        <v>51</v>
      </c>
      <c r="I914" s="1">
        <v>36644</v>
      </c>
      <c r="J914" s="2">
        <v>77153</v>
      </c>
      <c r="K914" s="3">
        <v>0</v>
      </c>
      <c r="M914" t="s">
        <v>70</v>
      </c>
      <c r="N914" s="2">
        <f>Employee_Data[[#This Row],[Basic Salary]]*10%</f>
        <v>642.94166666666672</v>
      </c>
      <c r="O914" s="4">
        <f>Employee_Data[[#This Row],[Basic Salary]]*7.5%</f>
        <v>482.20625000000001</v>
      </c>
      <c r="P914" s="2">
        <f>Employee_Data[[#This Row],[Basic Salary]]*3%</f>
        <v>192.88249999999999</v>
      </c>
      <c r="Q914" s="2">
        <f>SUM(Employee_Data[[#This Row],[Basic Salary]],Employee_Data[[#This Row],[HRA]],Employee_Data[[#This Row],[MA]],Employee_Data[[#This Row],[TA]])</f>
        <v>7747.4470833333335</v>
      </c>
      <c r="R914" s="4">
        <f>Employee_Data[[#This Row],[Basic Salary]]*12.5%</f>
        <v>803.67708333333337</v>
      </c>
      <c r="S914" s="2">
        <f>Employee_Data[[#This Row],[Annual Salary]]/12</f>
        <v>6429.416666666667</v>
      </c>
    </row>
    <row r="915" spans="1:19" x14ac:dyDescent="0.3">
      <c r="A915" t="s">
        <v>1887</v>
      </c>
      <c r="B915" t="s">
        <v>1888</v>
      </c>
      <c r="C915" t="s">
        <v>173</v>
      </c>
      <c r="D915" t="s">
        <v>4</v>
      </c>
      <c r="E915" t="s">
        <v>36</v>
      </c>
      <c r="G915" t="s">
        <v>66</v>
      </c>
      <c r="H915">
        <v>52</v>
      </c>
      <c r="I915" s="1">
        <v>34561</v>
      </c>
      <c r="J915" s="2">
        <v>73779</v>
      </c>
      <c r="K915" s="3">
        <v>0</v>
      </c>
      <c r="M915" t="s">
        <v>32</v>
      </c>
      <c r="N915" s="2">
        <f>Employee_Data[[#This Row],[Basic Salary]]*10%</f>
        <v>614.82500000000005</v>
      </c>
      <c r="O915" s="4">
        <f>Employee_Data[[#This Row],[Basic Salary]]*7.5%</f>
        <v>461.11874999999998</v>
      </c>
      <c r="P915" s="2">
        <f>Employee_Data[[#This Row],[Basic Salary]]*3%</f>
        <v>184.44749999999999</v>
      </c>
      <c r="Q915" s="2">
        <f>SUM(Employee_Data[[#This Row],[Basic Salary]],Employee_Data[[#This Row],[HRA]],Employee_Data[[#This Row],[MA]],Employee_Data[[#This Row],[TA]])</f>
        <v>7408.6412499999997</v>
      </c>
      <c r="R915" s="4">
        <f>Employee_Data[[#This Row],[Basic Salary]]*12.5%</f>
        <v>768.53125</v>
      </c>
      <c r="S915" s="2">
        <f>Employee_Data[[#This Row],[Annual Salary]]/12</f>
        <v>6148.25</v>
      </c>
    </row>
    <row r="916" spans="1:19" x14ac:dyDescent="0.3">
      <c r="A916" t="s">
        <v>1889</v>
      </c>
      <c r="B916" t="s">
        <v>1890</v>
      </c>
      <c r="C916" t="s">
        <v>89</v>
      </c>
      <c r="D916" t="s">
        <v>55</v>
      </c>
      <c r="E916" t="s">
        <v>31</v>
      </c>
      <c r="F916" t="s">
        <v>42</v>
      </c>
      <c r="G916" t="s">
        <v>43</v>
      </c>
      <c r="H916">
        <v>56</v>
      </c>
      <c r="I916" s="1">
        <v>43380</v>
      </c>
      <c r="J916" s="2">
        <v>231699</v>
      </c>
      <c r="K916" s="3">
        <v>0.32</v>
      </c>
      <c r="M916" t="s">
        <v>289</v>
      </c>
      <c r="N916" s="2">
        <f>Employee_Data[[#This Row],[Basic Salary]]*10%</f>
        <v>1930.825</v>
      </c>
      <c r="O916" s="4">
        <f>Employee_Data[[#This Row],[Basic Salary]]*7.5%</f>
        <v>1448.1187499999999</v>
      </c>
      <c r="P916" s="2">
        <f>Employee_Data[[#This Row],[Basic Salary]]*3%</f>
        <v>579.24749999999995</v>
      </c>
      <c r="Q916" s="2">
        <f>SUM(Employee_Data[[#This Row],[Basic Salary]],Employee_Data[[#This Row],[HRA]],Employee_Data[[#This Row],[MA]],Employee_Data[[#This Row],[TA]])</f>
        <v>23266.441250000003</v>
      </c>
      <c r="R916" s="4">
        <f>Employee_Data[[#This Row],[Basic Salary]]*12.5%</f>
        <v>2413.53125</v>
      </c>
      <c r="S916" s="2">
        <f>Employee_Data[[#This Row],[Annual Salary]]/12</f>
        <v>19308.25</v>
      </c>
    </row>
    <row r="917" spans="1:19" x14ac:dyDescent="0.3">
      <c r="A917" t="s">
        <v>1891</v>
      </c>
      <c r="B917" t="s">
        <v>1892</v>
      </c>
      <c r="C917" t="s">
        <v>89</v>
      </c>
      <c r="D917" t="s">
        <v>61</v>
      </c>
      <c r="E917" t="s">
        <v>31</v>
      </c>
      <c r="F917" t="s">
        <v>23</v>
      </c>
      <c r="G917" t="s">
        <v>84</v>
      </c>
      <c r="H917">
        <v>37</v>
      </c>
      <c r="I917" s="1">
        <v>39949</v>
      </c>
      <c r="J917" s="2">
        <v>199512</v>
      </c>
      <c r="K917" s="3">
        <v>0.35</v>
      </c>
      <c r="M917" t="s">
        <v>48</v>
      </c>
      <c r="N917" s="2">
        <f>Employee_Data[[#This Row],[Basic Salary]]*10%</f>
        <v>1662.6000000000001</v>
      </c>
      <c r="O917" s="4">
        <f>Employee_Data[[#This Row],[Basic Salary]]*7.5%</f>
        <v>1246.95</v>
      </c>
      <c r="P917" s="2">
        <f>Employee_Data[[#This Row],[Basic Salary]]*3%</f>
        <v>498.78</v>
      </c>
      <c r="Q917" s="2">
        <f>SUM(Employee_Data[[#This Row],[Basic Salary]],Employee_Data[[#This Row],[HRA]],Employee_Data[[#This Row],[MA]],Employee_Data[[#This Row],[TA]])</f>
        <v>20034.329999999998</v>
      </c>
      <c r="R917" s="4">
        <f>Employee_Data[[#This Row],[Basic Salary]]*12.5%</f>
        <v>2078.25</v>
      </c>
      <c r="S917" s="2">
        <f>Employee_Data[[#This Row],[Annual Salary]]/12</f>
        <v>16626</v>
      </c>
    </row>
    <row r="918" spans="1:19" x14ac:dyDescent="0.3">
      <c r="A918" t="s">
        <v>1893</v>
      </c>
      <c r="B918" t="s">
        <v>1894</v>
      </c>
      <c r="C918" t="s">
        <v>380</v>
      </c>
      <c r="D918" t="s">
        <v>4</v>
      </c>
      <c r="E918" t="s">
        <v>31</v>
      </c>
      <c r="F918" t="s">
        <v>23</v>
      </c>
      <c r="G918" t="s">
        <v>66</v>
      </c>
      <c r="H918">
        <v>29</v>
      </c>
      <c r="I918" s="1">
        <v>44660</v>
      </c>
      <c r="J918" s="2">
        <v>77557</v>
      </c>
      <c r="K918" s="3">
        <v>0</v>
      </c>
      <c r="M918" t="s">
        <v>70</v>
      </c>
      <c r="N918" s="2">
        <f>Employee_Data[[#This Row],[Basic Salary]]*10%</f>
        <v>646.30833333333339</v>
      </c>
      <c r="O918" s="4">
        <f>Employee_Data[[#This Row],[Basic Salary]]*7.5%</f>
        <v>484.73124999999993</v>
      </c>
      <c r="P918" s="2">
        <f>Employee_Data[[#This Row],[Basic Salary]]*3%</f>
        <v>193.89249999999998</v>
      </c>
      <c r="Q918" s="2">
        <f>SUM(Employee_Data[[#This Row],[Basic Salary]],Employee_Data[[#This Row],[HRA]],Employee_Data[[#This Row],[MA]],Employee_Data[[#This Row],[TA]])</f>
        <v>7788.0154166666662</v>
      </c>
      <c r="R918" s="4">
        <f>Employee_Data[[#This Row],[Basic Salary]]*12.5%</f>
        <v>807.88541666666663</v>
      </c>
      <c r="S918" s="2">
        <f>Employee_Data[[#This Row],[Annual Salary]]/12</f>
        <v>6463.083333333333</v>
      </c>
    </row>
    <row r="919" spans="1:19" x14ac:dyDescent="0.3">
      <c r="A919" t="s">
        <v>1895</v>
      </c>
      <c r="B919" t="s">
        <v>1896</v>
      </c>
      <c r="C919" t="s">
        <v>54</v>
      </c>
      <c r="D919" t="s">
        <v>30</v>
      </c>
      <c r="F919" t="s">
        <v>42</v>
      </c>
      <c r="G919" t="s">
        <v>24</v>
      </c>
      <c r="H919">
        <v>59</v>
      </c>
      <c r="I919" s="1">
        <v>44245</v>
      </c>
      <c r="J919" s="2">
        <v>99760</v>
      </c>
      <c r="K919" s="3">
        <v>0</v>
      </c>
      <c r="M919" t="s">
        <v>57</v>
      </c>
      <c r="N919" s="2">
        <f>Employee_Data[[#This Row],[Basic Salary]]*10%</f>
        <v>831.33333333333348</v>
      </c>
      <c r="O919" s="4">
        <f>Employee_Data[[#This Row],[Basic Salary]]*7.5%</f>
        <v>623.5</v>
      </c>
      <c r="P919" s="2">
        <f>Employee_Data[[#This Row],[Basic Salary]]*3%</f>
        <v>249.4</v>
      </c>
      <c r="Q919" s="2">
        <f>SUM(Employee_Data[[#This Row],[Basic Salary]],Employee_Data[[#This Row],[HRA]],Employee_Data[[#This Row],[MA]],Employee_Data[[#This Row],[TA]])</f>
        <v>10017.566666666668</v>
      </c>
      <c r="R919" s="4">
        <f>Employee_Data[[#This Row],[Basic Salary]]*12.5%</f>
        <v>1039.1666666666667</v>
      </c>
      <c r="S919" s="2">
        <f>Employee_Data[[#This Row],[Annual Salary]]/12</f>
        <v>8313.3333333333339</v>
      </c>
    </row>
    <row r="920" spans="1:19" x14ac:dyDescent="0.3">
      <c r="A920" t="s">
        <v>1897</v>
      </c>
      <c r="B920" t="s">
        <v>1898</v>
      </c>
      <c r="C920" t="s">
        <v>54</v>
      </c>
      <c r="D920" t="s">
        <v>80</v>
      </c>
      <c r="F920" t="s">
        <v>23</v>
      </c>
      <c r="G920" t="s">
        <v>24</v>
      </c>
      <c r="H920">
        <v>50</v>
      </c>
      <c r="I920" s="1">
        <v>35316</v>
      </c>
      <c r="J920" s="2">
        <v>96297</v>
      </c>
      <c r="K920" s="3">
        <v>0</v>
      </c>
      <c r="L920" t="s">
        <v>25</v>
      </c>
      <c r="M920" t="s">
        <v>70</v>
      </c>
      <c r="N920" s="2">
        <f>Employee_Data[[#This Row],[Basic Salary]]*10%</f>
        <v>802.47500000000002</v>
      </c>
      <c r="O920" s="4">
        <f>Employee_Data[[#This Row],[Basic Salary]]*7.5%</f>
        <v>601.85624999999993</v>
      </c>
      <c r="P920" s="2">
        <f>Employee_Data[[#This Row],[Basic Salary]]*3%</f>
        <v>240.74249999999998</v>
      </c>
      <c r="Q920" s="2">
        <f>SUM(Employee_Data[[#This Row],[Basic Salary]],Employee_Data[[#This Row],[HRA]],Employee_Data[[#This Row],[MA]],Employee_Data[[#This Row],[TA]])</f>
        <v>9669.8237500000014</v>
      </c>
      <c r="R920" s="4">
        <f>Employee_Data[[#This Row],[Basic Salary]]*12.5%</f>
        <v>1003.09375</v>
      </c>
      <c r="S920" s="2">
        <f>Employee_Data[[#This Row],[Annual Salary]]/12</f>
        <v>8024.75</v>
      </c>
    </row>
    <row r="921" spans="1:19" x14ac:dyDescent="0.3">
      <c r="A921" t="s">
        <v>1899</v>
      </c>
      <c r="B921" t="s">
        <v>1900</v>
      </c>
      <c r="C921" t="s">
        <v>159</v>
      </c>
      <c r="D921" t="s">
        <v>4</v>
      </c>
      <c r="F921" t="s">
        <v>23</v>
      </c>
      <c r="G921" t="s">
        <v>24</v>
      </c>
      <c r="H921">
        <v>48</v>
      </c>
      <c r="I921" s="1">
        <v>40539</v>
      </c>
      <c r="J921" s="2">
        <v>53593</v>
      </c>
      <c r="K921" s="3">
        <v>0</v>
      </c>
      <c r="L921" t="s">
        <v>37</v>
      </c>
      <c r="M921" t="s">
        <v>62</v>
      </c>
      <c r="N921" s="2">
        <f>Employee_Data[[#This Row],[Basic Salary]]*10%</f>
        <v>446.60833333333335</v>
      </c>
      <c r="O921" s="4">
        <f>Employee_Data[[#This Row],[Basic Salary]]*7.5%</f>
        <v>334.95624999999995</v>
      </c>
      <c r="P921" s="2">
        <f>Employee_Data[[#This Row],[Basic Salary]]*3%</f>
        <v>133.98249999999999</v>
      </c>
      <c r="Q921" s="2">
        <f>SUM(Employee_Data[[#This Row],[Basic Salary]],Employee_Data[[#This Row],[HRA]],Employee_Data[[#This Row],[MA]],Employee_Data[[#This Row],[TA]])</f>
        <v>5381.6304166666669</v>
      </c>
      <c r="R921" s="4">
        <f>Employee_Data[[#This Row],[Basic Salary]]*12.5%</f>
        <v>558.26041666666663</v>
      </c>
      <c r="S921" s="2">
        <f>Employee_Data[[#This Row],[Annual Salary]]/12</f>
        <v>4466.083333333333</v>
      </c>
    </row>
    <row r="922" spans="1:19" x14ac:dyDescent="0.3">
      <c r="A922" t="s">
        <v>1901</v>
      </c>
      <c r="B922" t="s">
        <v>1902</v>
      </c>
      <c r="C922" t="s">
        <v>47</v>
      </c>
      <c r="D922" t="s">
        <v>80</v>
      </c>
      <c r="F922" t="s">
        <v>42</v>
      </c>
      <c r="G922" t="s">
        <v>43</v>
      </c>
      <c r="H922">
        <v>44</v>
      </c>
      <c r="I922" s="1">
        <v>43162</v>
      </c>
      <c r="J922" s="2">
        <v>167660</v>
      </c>
      <c r="K922" s="3">
        <v>0.28999999999999998</v>
      </c>
      <c r="L922" t="s">
        <v>137</v>
      </c>
      <c r="M922" t="s">
        <v>183</v>
      </c>
      <c r="N922" s="2">
        <f>Employee_Data[[#This Row],[Basic Salary]]*10%</f>
        <v>1397.1666666666667</v>
      </c>
      <c r="O922" s="4">
        <f>Employee_Data[[#This Row],[Basic Salary]]*7.5%</f>
        <v>1047.875</v>
      </c>
      <c r="P922" s="2">
        <f>Employee_Data[[#This Row],[Basic Salary]]*3%</f>
        <v>419.15</v>
      </c>
      <c r="Q922" s="2">
        <f>SUM(Employee_Data[[#This Row],[Basic Salary]],Employee_Data[[#This Row],[HRA]],Employee_Data[[#This Row],[MA]],Employee_Data[[#This Row],[TA]])</f>
        <v>16835.858333333334</v>
      </c>
      <c r="R922" s="4">
        <f>Employee_Data[[#This Row],[Basic Salary]]*12.5%</f>
        <v>1746.4583333333333</v>
      </c>
      <c r="S922" s="2">
        <f>Employee_Data[[#This Row],[Annual Salary]]/12</f>
        <v>13971.666666666666</v>
      </c>
    </row>
    <row r="923" spans="1:19" x14ac:dyDescent="0.3">
      <c r="A923" t="s">
        <v>1903</v>
      </c>
      <c r="C923" t="s">
        <v>29</v>
      </c>
      <c r="D923" t="s">
        <v>30</v>
      </c>
      <c r="F923" t="s">
        <v>23</v>
      </c>
      <c r="G923" t="s">
        <v>66</v>
      </c>
      <c r="H923">
        <v>29</v>
      </c>
      <c r="I923" s="1">
        <v>44395</v>
      </c>
      <c r="J923" s="2">
        <v>43084</v>
      </c>
      <c r="K923" s="3">
        <v>0</v>
      </c>
      <c r="L923" t="s">
        <v>25</v>
      </c>
      <c r="M923" t="s">
        <v>44</v>
      </c>
      <c r="N923" s="2">
        <f>Employee_Data[[#This Row],[Basic Salary]]*10%</f>
        <v>359.03333333333336</v>
      </c>
      <c r="O923" s="4">
        <f>Employee_Data[[#This Row],[Basic Salary]]*7.5%</f>
        <v>269.27499999999998</v>
      </c>
      <c r="P923" s="2">
        <f>Employee_Data[[#This Row],[Basic Salary]]*3%</f>
        <v>107.71</v>
      </c>
      <c r="Q923" s="2">
        <f>SUM(Employee_Data[[#This Row],[Basic Salary]],Employee_Data[[#This Row],[HRA]],Employee_Data[[#This Row],[MA]],Employee_Data[[#This Row],[TA]])</f>
        <v>4326.3516666666665</v>
      </c>
      <c r="R923" s="4">
        <f>Employee_Data[[#This Row],[Basic Salary]]*12.5%</f>
        <v>448.79166666666669</v>
      </c>
      <c r="S923" s="2">
        <f>Employee_Data[[#This Row],[Annual Salary]]/12</f>
        <v>3590.3333333333335</v>
      </c>
    </row>
    <row r="924" spans="1:19" x14ac:dyDescent="0.3">
      <c r="A924" t="s">
        <v>1904</v>
      </c>
      <c r="C924" t="s">
        <v>83</v>
      </c>
      <c r="D924" t="s">
        <v>4</v>
      </c>
      <c r="F924" t="s">
        <v>23</v>
      </c>
      <c r="G924" t="s">
        <v>66</v>
      </c>
      <c r="H924">
        <v>60</v>
      </c>
      <c r="I924" s="1">
        <v>35255</v>
      </c>
      <c r="J924" s="2">
        <v>154707</v>
      </c>
      <c r="K924" s="3">
        <v>0.13</v>
      </c>
      <c r="L924" t="s">
        <v>25</v>
      </c>
      <c r="M924" t="s">
        <v>48</v>
      </c>
      <c r="N924" s="2">
        <f>Employee_Data[[#This Row],[Basic Salary]]*10%</f>
        <v>1289.2250000000001</v>
      </c>
      <c r="O924" s="4">
        <f>Employee_Data[[#This Row],[Basic Salary]]*7.5%</f>
        <v>966.91874999999993</v>
      </c>
      <c r="P924" s="2">
        <f>Employee_Data[[#This Row],[Basic Salary]]*3%</f>
        <v>386.76749999999998</v>
      </c>
      <c r="Q924" s="2">
        <f>SUM(Employee_Data[[#This Row],[Basic Salary]],Employee_Data[[#This Row],[HRA]],Employee_Data[[#This Row],[MA]],Employee_Data[[#This Row],[TA]])</f>
        <v>15535.161250000001</v>
      </c>
      <c r="R924" s="4">
        <f>Employee_Data[[#This Row],[Basic Salary]]*12.5%</f>
        <v>1611.53125</v>
      </c>
      <c r="S924" s="2">
        <f>Employee_Data[[#This Row],[Annual Salary]]/12</f>
        <v>12892.25</v>
      </c>
    </row>
    <row r="925" spans="1:19" x14ac:dyDescent="0.3">
      <c r="A925" t="s">
        <v>1905</v>
      </c>
      <c r="C925" t="s">
        <v>89</v>
      </c>
      <c r="D925" t="s">
        <v>4</v>
      </c>
      <c r="F925" t="s">
        <v>23</v>
      </c>
      <c r="G925" t="s">
        <v>24</v>
      </c>
      <c r="H925">
        <v>56</v>
      </c>
      <c r="I925" s="1">
        <v>40613</v>
      </c>
      <c r="J925" s="2">
        <v>184780</v>
      </c>
      <c r="K925" s="3">
        <v>0.38</v>
      </c>
      <c r="L925" t="s">
        <v>25</v>
      </c>
      <c r="M925" t="s">
        <v>48</v>
      </c>
      <c r="N925" s="2">
        <f>Employee_Data[[#This Row],[Basic Salary]]*10%</f>
        <v>1539.8333333333335</v>
      </c>
      <c r="O925" s="4">
        <f>Employee_Data[[#This Row],[Basic Salary]]*7.5%</f>
        <v>1154.875</v>
      </c>
      <c r="P925" s="2">
        <f>Employee_Data[[#This Row],[Basic Salary]]*3%</f>
        <v>461.95</v>
      </c>
      <c r="Q925" s="2">
        <f>SUM(Employee_Data[[#This Row],[Basic Salary]],Employee_Data[[#This Row],[HRA]],Employee_Data[[#This Row],[MA]],Employee_Data[[#This Row],[TA]])</f>
        <v>18554.991666666669</v>
      </c>
      <c r="R925" s="4">
        <f>Employee_Data[[#This Row],[Basic Salary]]*12.5%</f>
        <v>1924.7916666666667</v>
      </c>
      <c r="S925" s="2">
        <f>Employee_Data[[#This Row],[Annual Salary]]/12</f>
        <v>15398.333333333334</v>
      </c>
    </row>
    <row r="926" spans="1:19" x14ac:dyDescent="0.3">
      <c r="A926" t="s">
        <v>1906</v>
      </c>
      <c r="C926" t="s">
        <v>69</v>
      </c>
      <c r="D926" t="s">
        <v>80</v>
      </c>
      <c r="F926" t="s">
        <v>42</v>
      </c>
      <c r="G926" t="s">
        <v>43</v>
      </c>
      <c r="H926">
        <v>31</v>
      </c>
      <c r="I926" s="1">
        <v>42296</v>
      </c>
      <c r="J926" s="2">
        <v>109925</v>
      </c>
      <c r="K926" s="3">
        <v>7.0000000000000007E-2</v>
      </c>
      <c r="L926" t="s">
        <v>137</v>
      </c>
      <c r="M926" t="s">
        <v>289</v>
      </c>
      <c r="N926" s="2">
        <f>Employee_Data[[#This Row],[Basic Salary]]*10%</f>
        <v>916.04166666666663</v>
      </c>
      <c r="O926" s="4">
        <f>Employee_Data[[#This Row],[Basic Salary]]*7.5%</f>
        <v>687.03124999999989</v>
      </c>
      <c r="P926" s="2">
        <f>Employee_Data[[#This Row],[Basic Salary]]*3%</f>
        <v>274.8125</v>
      </c>
      <c r="Q926" s="2">
        <f>SUM(Employee_Data[[#This Row],[Basic Salary]],Employee_Data[[#This Row],[HRA]],Employee_Data[[#This Row],[MA]],Employee_Data[[#This Row],[TA]])</f>
        <v>11038.302083333332</v>
      </c>
      <c r="R926" s="4">
        <f>Employee_Data[[#This Row],[Basic Salary]]*12.5%</f>
        <v>1145.0520833333333</v>
      </c>
      <c r="S926" s="2">
        <f>Employee_Data[[#This Row],[Annual Salary]]/12</f>
        <v>9160.4166666666661</v>
      </c>
    </row>
    <row r="927" spans="1:19" x14ac:dyDescent="0.3">
      <c r="A927" t="s">
        <v>1907</v>
      </c>
      <c r="C927" t="s">
        <v>83</v>
      </c>
      <c r="D927" t="s">
        <v>61</v>
      </c>
      <c r="E927" t="s">
        <v>31</v>
      </c>
      <c r="F927" t="s">
        <v>23</v>
      </c>
      <c r="G927" t="s">
        <v>24</v>
      </c>
      <c r="H927">
        <v>53</v>
      </c>
      <c r="I927" s="1">
        <v>42072</v>
      </c>
      <c r="J927" s="2">
        <v>151706</v>
      </c>
      <c r="K927" s="3">
        <v>0.11</v>
      </c>
      <c r="M927" t="s">
        <v>62</v>
      </c>
      <c r="N927" s="2">
        <f>Employee_Data[[#This Row],[Basic Salary]]*10%</f>
        <v>1264.2166666666667</v>
      </c>
      <c r="O927" s="4">
        <f>Employee_Data[[#This Row],[Basic Salary]]*7.5%</f>
        <v>948.16249999999991</v>
      </c>
      <c r="P927" s="2">
        <f>Employee_Data[[#This Row],[Basic Salary]]*3%</f>
        <v>379.26499999999999</v>
      </c>
      <c r="Q927" s="2">
        <f>SUM(Employee_Data[[#This Row],[Basic Salary]],Employee_Data[[#This Row],[HRA]],Employee_Data[[#This Row],[MA]],Employee_Data[[#This Row],[TA]])</f>
        <v>15233.810833333333</v>
      </c>
      <c r="R927" s="4">
        <f>Employee_Data[[#This Row],[Basic Salary]]*12.5%</f>
        <v>1580.2708333333333</v>
      </c>
      <c r="S927" s="2">
        <f>Employee_Data[[#This Row],[Annual Salary]]/12</f>
        <v>12642.166666666666</v>
      </c>
    </row>
    <row r="928" spans="1:19" x14ac:dyDescent="0.3">
      <c r="A928" t="s">
        <v>1908</v>
      </c>
      <c r="C928" t="s">
        <v>69</v>
      </c>
      <c r="D928" t="s">
        <v>55</v>
      </c>
      <c r="E928" t="s">
        <v>22</v>
      </c>
      <c r="F928" t="s">
        <v>23</v>
      </c>
      <c r="G928" t="s">
        <v>43</v>
      </c>
      <c r="H928">
        <v>26</v>
      </c>
      <c r="I928" s="1">
        <v>44914</v>
      </c>
      <c r="J928" s="2">
        <v>102066</v>
      </c>
      <c r="K928" s="3">
        <v>0.1</v>
      </c>
      <c r="M928" t="s">
        <v>48</v>
      </c>
      <c r="N928" s="2">
        <f>Employee_Data[[#This Row],[Basic Salary]]*10%</f>
        <v>850.55000000000007</v>
      </c>
      <c r="O928" s="4">
        <f>Employee_Data[[#This Row],[Basic Salary]]*7.5%</f>
        <v>637.91250000000002</v>
      </c>
      <c r="P928" s="2">
        <f>Employee_Data[[#This Row],[Basic Salary]]*3%</f>
        <v>255.16499999999999</v>
      </c>
      <c r="Q928" s="2">
        <f>SUM(Employee_Data[[#This Row],[Basic Salary]],Employee_Data[[#This Row],[HRA]],Employee_Data[[#This Row],[MA]],Employee_Data[[#This Row],[TA]])</f>
        <v>10249.127500000001</v>
      </c>
      <c r="R928" s="4">
        <f>Employee_Data[[#This Row],[Basic Salary]]*12.5%</f>
        <v>1063.1875</v>
      </c>
      <c r="S928" s="2">
        <f>Employee_Data[[#This Row],[Annual Salary]]/12</f>
        <v>8505.5</v>
      </c>
    </row>
    <row r="929" spans="1:19" x14ac:dyDescent="0.3">
      <c r="A929" t="s">
        <v>1909</v>
      </c>
      <c r="C929" t="s">
        <v>89</v>
      </c>
      <c r="D929" t="s">
        <v>80</v>
      </c>
      <c r="E929" t="s">
        <v>36</v>
      </c>
      <c r="F929" t="s">
        <v>23</v>
      </c>
      <c r="G929" t="s">
        <v>24</v>
      </c>
      <c r="H929">
        <v>31</v>
      </c>
      <c r="I929" s="1">
        <v>44329</v>
      </c>
      <c r="J929" s="2">
        <v>234203</v>
      </c>
      <c r="K929" s="3">
        <v>0.36</v>
      </c>
      <c r="M929" t="s">
        <v>44</v>
      </c>
      <c r="N929" s="2">
        <f>Employee_Data[[#This Row],[Basic Salary]]*10%</f>
        <v>1951.6916666666668</v>
      </c>
      <c r="O929" s="4">
        <f>Employee_Data[[#This Row],[Basic Salary]]*7.5%</f>
        <v>1463.76875</v>
      </c>
      <c r="P929" s="2">
        <f>Employee_Data[[#This Row],[Basic Salary]]*3%</f>
        <v>585.50750000000005</v>
      </c>
      <c r="Q929" s="2">
        <f>SUM(Employee_Data[[#This Row],[Basic Salary]],Employee_Data[[#This Row],[HRA]],Employee_Data[[#This Row],[MA]],Employee_Data[[#This Row],[TA]])</f>
        <v>23517.884583333333</v>
      </c>
      <c r="R929" s="4">
        <f>Employee_Data[[#This Row],[Basic Salary]]*12.5%</f>
        <v>2439.6145833333335</v>
      </c>
      <c r="S929" s="2">
        <f>Employee_Data[[#This Row],[Annual Salary]]/12</f>
        <v>19516.916666666668</v>
      </c>
    </row>
    <row r="930" spans="1:19" x14ac:dyDescent="0.3">
      <c r="A930" t="s">
        <v>1910</v>
      </c>
      <c r="C930" t="s">
        <v>83</v>
      </c>
      <c r="D930" t="s">
        <v>80</v>
      </c>
      <c r="E930" t="s">
        <v>31</v>
      </c>
      <c r="F930" t="s">
        <v>23</v>
      </c>
      <c r="G930" t="s">
        <v>43</v>
      </c>
      <c r="H930">
        <v>48</v>
      </c>
      <c r="I930" s="1">
        <v>43658</v>
      </c>
      <c r="J930" s="2">
        <v>121884</v>
      </c>
      <c r="K930" s="3">
        <v>0.12</v>
      </c>
      <c r="M930" t="s">
        <v>48</v>
      </c>
      <c r="N930" s="2">
        <f>Employee_Data[[#This Row],[Basic Salary]]*10%</f>
        <v>1015.7</v>
      </c>
      <c r="O930" s="4">
        <f>Employee_Data[[#This Row],[Basic Salary]]*7.5%</f>
        <v>761.77499999999998</v>
      </c>
      <c r="P930" s="2">
        <f>Employee_Data[[#This Row],[Basic Salary]]*3%</f>
        <v>304.70999999999998</v>
      </c>
      <c r="Q930" s="2">
        <f>SUM(Employee_Data[[#This Row],[Basic Salary]],Employee_Data[[#This Row],[HRA]],Employee_Data[[#This Row],[MA]],Employee_Data[[#This Row],[TA]])</f>
        <v>12239.184999999999</v>
      </c>
      <c r="R930" s="4">
        <f>Employee_Data[[#This Row],[Basic Salary]]*12.5%</f>
        <v>1269.625</v>
      </c>
      <c r="S930" s="2">
        <f>Employee_Data[[#This Row],[Annual Salary]]/12</f>
        <v>10157</v>
      </c>
    </row>
    <row r="931" spans="1:19" x14ac:dyDescent="0.3">
      <c r="A931" t="s">
        <v>1911</v>
      </c>
      <c r="C931" t="s">
        <v>89</v>
      </c>
      <c r="D931" t="s">
        <v>80</v>
      </c>
      <c r="E931" t="s">
        <v>36</v>
      </c>
      <c r="F931" t="s">
        <v>23</v>
      </c>
      <c r="G931" t="s">
        <v>24</v>
      </c>
      <c r="H931">
        <v>61</v>
      </c>
      <c r="I931" s="1">
        <v>41749</v>
      </c>
      <c r="J931" s="2">
        <v>209680</v>
      </c>
      <c r="K931" s="3">
        <v>0.34</v>
      </c>
      <c r="L931" t="s">
        <v>37</v>
      </c>
      <c r="M931" t="s">
        <v>38</v>
      </c>
      <c r="N931" s="2">
        <f>Employee_Data[[#This Row],[Basic Salary]]*10%</f>
        <v>1747.3333333333333</v>
      </c>
      <c r="O931" s="4">
        <f>Employee_Data[[#This Row],[Basic Salary]]*7.5%</f>
        <v>1310.4999999999998</v>
      </c>
      <c r="P931" s="2">
        <f>Employee_Data[[#This Row],[Basic Salary]]*3%</f>
        <v>524.19999999999993</v>
      </c>
      <c r="Q931" s="2">
        <f>SUM(Employee_Data[[#This Row],[Basic Salary]],Employee_Data[[#This Row],[HRA]],Employee_Data[[#This Row],[MA]],Employee_Data[[#This Row],[TA]])</f>
        <v>21055.366666666665</v>
      </c>
      <c r="R931" s="4">
        <f>Employee_Data[[#This Row],[Basic Salary]]*12.5%</f>
        <v>2184.1666666666665</v>
      </c>
      <c r="S931" s="2">
        <f>Employee_Data[[#This Row],[Annual Salary]]/12</f>
        <v>17473.333333333332</v>
      </c>
    </row>
    <row r="932" spans="1:19" x14ac:dyDescent="0.3">
      <c r="A932" t="s">
        <v>1912</v>
      </c>
      <c r="D932" t="s">
        <v>4</v>
      </c>
      <c r="E932" t="s">
        <v>36</v>
      </c>
      <c r="F932" t="s">
        <v>42</v>
      </c>
      <c r="G932" t="s">
        <v>66</v>
      </c>
      <c r="H932">
        <v>42</v>
      </c>
      <c r="J932" s="2">
        <v>240940</v>
      </c>
      <c r="K932" s="3">
        <v>0.34</v>
      </c>
      <c r="L932" t="s">
        <v>25</v>
      </c>
      <c r="M932" t="s">
        <v>51</v>
      </c>
      <c r="N932" s="2">
        <f>Employee_Data[[#This Row],[Basic Salary]]*10%</f>
        <v>2007.8333333333333</v>
      </c>
      <c r="O932" s="4">
        <f>Employee_Data[[#This Row],[Basic Salary]]*7.5%</f>
        <v>1505.8749999999998</v>
      </c>
      <c r="P932" s="2">
        <f>Employee_Data[[#This Row],[Basic Salary]]*3%</f>
        <v>602.34999999999991</v>
      </c>
      <c r="Q932" s="2">
        <f>SUM(Employee_Data[[#This Row],[Basic Salary]],Employee_Data[[#This Row],[HRA]],Employee_Data[[#This Row],[MA]],Employee_Data[[#This Row],[TA]])</f>
        <v>24194.391666666663</v>
      </c>
      <c r="R932" s="4">
        <f>Employee_Data[[#This Row],[Basic Salary]]*12.5%</f>
        <v>2509.7916666666665</v>
      </c>
      <c r="S932" s="2">
        <f>Employee_Data[[#This Row],[Annual Salary]]/12</f>
        <v>20078.333333333332</v>
      </c>
    </row>
    <row r="933" spans="1:19" x14ac:dyDescent="0.3">
      <c r="A933" t="s">
        <v>1913</v>
      </c>
      <c r="D933" t="s">
        <v>4</v>
      </c>
      <c r="E933" t="s">
        <v>22</v>
      </c>
      <c r="F933" t="s">
        <v>42</v>
      </c>
      <c r="G933" t="s">
        <v>66</v>
      </c>
      <c r="H933">
        <v>50</v>
      </c>
      <c r="J933" s="2">
        <v>63884</v>
      </c>
      <c r="K933" s="3">
        <v>0</v>
      </c>
      <c r="L933" t="s">
        <v>25</v>
      </c>
      <c r="M933" t="s">
        <v>70</v>
      </c>
      <c r="N933" s="2">
        <f>Employee_Data[[#This Row],[Basic Salary]]*10%</f>
        <v>532.36666666666667</v>
      </c>
      <c r="O933" s="4">
        <f>Employee_Data[[#This Row],[Basic Salary]]*7.5%</f>
        <v>399.27500000000003</v>
      </c>
      <c r="P933" s="2">
        <f>Employee_Data[[#This Row],[Basic Salary]]*3%</f>
        <v>159.71</v>
      </c>
      <c r="Q933" s="2">
        <f>SUM(Employee_Data[[#This Row],[Basic Salary]],Employee_Data[[#This Row],[HRA]],Employee_Data[[#This Row],[MA]],Employee_Data[[#This Row],[TA]])</f>
        <v>6415.0183333333334</v>
      </c>
      <c r="R933" s="4">
        <f>Employee_Data[[#This Row],[Basic Salary]]*12.5%</f>
        <v>665.45833333333337</v>
      </c>
      <c r="S933" s="2">
        <f>Employee_Data[[#This Row],[Annual Salary]]/12</f>
        <v>5323.666666666667</v>
      </c>
    </row>
    <row r="934" spans="1:19" x14ac:dyDescent="0.3">
      <c r="A934" t="s">
        <v>1914</v>
      </c>
      <c r="C934" t="s">
        <v>164</v>
      </c>
      <c r="E934" t="s">
        <v>56</v>
      </c>
      <c r="F934" t="s">
        <v>42</v>
      </c>
      <c r="G934" t="s">
        <v>66</v>
      </c>
      <c r="H934">
        <v>46</v>
      </c>
      <c r="K934" s="3">
        <v>0</v>
      </c>
      <c r="L934" t="s">
        <v>25</v>
      </c>
      <c r="M934" t="s">
        <v>51</v>
      </c>
      <c r="N934" s="2">
        <f>Employee_Data[[#This Row],[Basic Salary]]*10%</f>
        <v>0</v>
      </c>
      <c r="O934" s="4">
        <f>Employee_Data[[#This Row],[Basic Salary]]*7.5%</f>
        <v>0</v>
      </c>
      <c r="P934" s="2">
        <f>Employee_Data[[#This Row],[Basic Salary]]*3%</f>
        <v>0</v>
      </c>
      <c r="Q934" s="2">
        <f>SUM(Employee_Data[[#This Row],[Basic Salary]],Employee_Data[[#This Row],[HRA]],Employee_Data[[#This Row],[MA]],Employee_Data[[#This Row],[TA]])</f>
        <v>0</v>
      </c>
      <c r="R934" s="4">
        <f>Employee_Data[[#This Row],[Basic Salary]]*12.5%</f>
        <v>0</v>
      </c>
      <c r="S934" s="2">
        <f>Employee_Data[[#This Row],[Annual Salary]]/12</f>
        <v>0</v>
      </c>
    </row>
    <row r="935" spans="1:19" x14ac:dyDescent="0.3">
      <c r="A935" t="s">
        <v>1915</v>
      </c>
      <c r="B935" t="s">
        <v>1916</v>
      </c>
      <c r="C935" t="s">
        <v>94</v>
      </c>
      <c r="E935" t="s">
        <v>56</v>
      </c>
      <c r="F935" t="s">
        <v>42</v>
      </c>
      <c r="G935" t="s">
        <v>43</v>
      </c>
      <c r="H935">
        <v>50</v>
      </c>
      <c r="I935" s="1">
        <v>39398</v>
      </c>
      <c r="K935" s="3">
        <v>0</v>
      </c>
      <c r="L935" t="s">
        <v>25</v>
      </c>
      <c r="M935" t="s">
        <v>32</v>
      </c>
      <c r="N935" s="2">
        <f>Employee_Data[[#This Row],[Basic Salary]]*10%</f>
        <v>0</v>
      </c>
      <c r="O935" s="4">
        <f>Employee_Data[[#This Row],[Basic Salary]]*7.5%</f>
        <v>0</v>
      </c>
      <c r="P935" s="2">
        <f>Employee_Data[[#This Row],[Basic Salary]]*3%</f>
        <v>0</v>
      </c>
      <c r="Q935" s="2">
        <f>SUM(Employee_Data[[#This Row],[Basic Salary]],Employee_Data[[#This Row],[HRA]],Employee_Data[[#This Row],[MA]],Employee_Data[[#This Row],[TA]])</f>
        <v>0</v>
      </c>
      <c r="R935" s="4">
        <f>Employee_Data[[#This Row],[Basic Salary]]*12.5%</f>
        <v>0</v>
      </c>
      <c r="S935" s="2">
        <f>Employee_Data[[#This Row],[Annual Salary]]/12</f>
        <v>0</v>
      </c>
    </row>
    <row r="936" spans="1:19" x14ac:dyDescent="0.3">
      <c r="A936" t="s">
        <v>1917</v>
      </c>
      <c r="B936" t="s">
        <v>1918</v>
      </c>
      <c r="C936" t="s">
        <v>47</v>
      </c>
      <c r="E936" t="s">
        <v>31</v>
      </c>
      <c r="F936" t="s">
        <v>42</v>
      </c>
      <c r="G936" t="s">
        <v>43</v>
      </c>
      <c r="H936">
        <v>62</v>
      </c>
      <c r="I936" s="1">
        <v>40931</v>
      </c>
      <c r="K936" s="3">
        <v>0.2</v>
      </c>
      <c r="L936" t="s">
        <v>25</v>
      </c>
      <c r="M936" t="s">
        <v>51</v>
      </c>
      <c r="N936" s="2">
        <f>Employee_Data[[#This Row],[Basic Salary]]*10%</f>
        <v>0</v>
      </c>
      <c r="O936" s="4">
        <f>Employee_Data[[#This Row],[Basic Salary]]*7.5%</f>
        <v>0</v>
      </c>
      <c r="P936" s="2">
        <f>Employee_Data[[#This Row],[Basic Salary]]*3%</f>
        <v>0</v>
      </c>
      <c r="Q936" s="2">
        <f>SUM(Employee_Data[[#This Row],[Basic Salary]],Employee_Data[[#This Row],[HRA]],Employee_Data[[#This Row],[MA]],Employee_Data[[#This Row],[TA]])</f>
        <v>0</v>
      </c>
      <c r="R936" s="4">
        <f>Employee_Data[[#This Row],[Basic Salary]]*12.5%</f>
        <v>0</v>
      </c>
      <c r="S936" s="2">
        <f>Employee_Data[[#This Row],[Annual Salary]]/12</f>
        <v>0</v>
      </c>
    </row>
    <row r="937" spans="1:19" x14ac:dyDescent="0.3">
      <c r="A937" t="s">
        <v>1919</v>
      </c>
      <c r="B937" t="s">
        <v>1920</v>
      </c>
      <c r="C937" t="s">
        <v>47</v>
      </c>
      <c r="E937" t="s">
        <v>56</v>
      </c>
      <c r="F937" t="s">
        <v>42</v>
      </c>
      <c r="G937" t="s">
        <v>66</v>
      </c>
      <c r="H937">
        <v>45</v>
      </c>
      <c r="I937" s="1">
        <v>43538</v>
      </c>
      <c r="K937" s="3">
        <v>0.18</v>
      </c>
      <c r="L937" t="s">
        <v>25</v>
      </c>
      <c r="M937" t="s">
        <v>70</v>
      </c>
      <c r="N937" s="2">
        <f>Employee_Data[[#This Row],[Basic Salary]]*10%</f>
        <v>0</v>
      </c>
      <c r="O937" s="4">
        <f>Employee_Data[[#This Row],[Basic Salary]]*7.5%</f>
        <v>0</v>
      </c>
      <c r="P937" s="2">
        <f>Employee_Data[[#This Row],[Basic Salary]]*3%</f>
        <v>0</v>
      </c>
      <c r="Q937" s="2">
        <f>SUM(Employee_Data[[#This Row],[Basic Salary]],Employee_Data[[#This Row],[HRA]],Employee_Data[[#This Row],[MA]],Employee_Data[[#This Row],[TA]])</f>
        <v>0</v>
      </c>
      <c r="R937" s="4">
        <f>Employee_Data[[#This Row],[Basic Salary]]*12.5%</f>
        <v>0</v>
      </c>
      <c r="S937" s="2">
        <f>Employee_Data[[#This Row],[Annual Salary]]/12</f>
        <v>0</v>
      </c>
    </row>
    <row r="938" spans="1:19" x14ac:dyDescent="0.3">
      <c r="A938" t="s">
        <v>1921</v>
      </c>
      <c r="B938" t="s">
        <v>1922</v>
      </c>
      <c r="C938" t="s">
        <v>47</v>
      </c>
      <c r="E938" t="s">
        <v>56</v>
      </c>
      <c r="F938" t="s">
        <v>23</v>
      </c>
      <c r="G938" t="s">
        <v>43</v>
      </c>
      <c r="H938">
        <v>34</v>
      </c>
      <c r="I938" s="1">
        <v>40946</v>
      </c>
      <c r="K938" s="3">
        <v>0.23</v>
      </c>
      <c r="L938" t="s">
        <v>25</v>
      </c>
      <c r="M938" t="s">
        <v>32</v>
      </c>
      <c r="N938" s="2">
        <f>Employee_Data[[#This Row],[Basic Salary]]*10%</f>
        <v>0</v>
      </c>
      <c r="O938" s="4">
        <f>Employee_Data[[#This Row],[Basic Salary]]*7.5%</f>
        <v>0</v>
      </c>
      <c r="P938" s="2">
        <f>Employee_Data[[#This Row],[Basic Salary]]*3%</f>
        <v>0</v>
      </c>
      <c r="Q938" s="2">
        <f>SUM(Employee_Data[[#This Row],[Basic Salary]],Employee_Data[[#This Row],[HRA]],Employee_Data[[#This Row],[MA]],Employee_Data[[#This Row],[TA]])</f>
        <v>0</v>
      </c>
      <c r="R938" s="4">
        <f>Employee_Data[[#This Row],[Basic Salary]]*12.5%</f>
        <v>0</v>
      </c>
      <c r="S938" s="2">
        <f>Employee_Data[[#This Row],[Annual Salary]]/12</f>
        <v>0</v>
      </c>
    </row>
    <row r="939" spans="1:19" x14ac:dyDescent="0.3">
      <c r="A939" t="s">
        <v>1923</v>
      </c>
      <c r="B939" t="s">
        <v>1924</v>
      </c>
      <c r="C939" t="s">
        <v>29</v>
      </c>
      <c r="F939" t="s">
        <v>42</v>
      </c>
      <c r="G939" t="s">
        <v>43</v>
      </c>
      <c r="H939">
        <v>35</v>
      </c>
      <c r="I939" s="1">
        <v>41051</v>
      </c>
      <c r="K939" s="3">
        <v>0</v>
      </c>
      <c r="L939" t="s">
        <v>25</v>
      </c>
      <c r="M939" t="s">
        <v>48</v>
      </c>
      <c r="N939" s="2">
        <f>Employee_Data[[#This Row],[Basic Salary]]*10%</f>
        <v>0</v>
      </c>
      <c r="O939" s="4">
        <f>Employee_Data[[#This Row],[Basic Salary]]*7.5%</f>
        <v>0</v>
      </c>
      <c r="P939" s="2">
        <f>Employee_Data[[#This Row],[Basic Salary]]*3%</f>
        <v>0</v>
      </c>
      <c r="Q939" s="2">
        <f>SUM(Employee_Data[[#This Row],[Basic Salary]],Employee_Data[[#This Row],[HRA]],Employee_Data[[#This Row],[MA]],Employee_Data[[#This Row],[TA]])</f>
        <v>0</v>
      </c>
      <c r="R939" s="4">
        <f>Employee_Data[[#This Row],[Basic Salary]]*12.5%</f>
        <v>0</v>
      </c>
      <c r="S939" s="2">
        <f>Employee_Data[[#This Row],[Annual Salary]]/12</f>
        <v>0</v>
      </c>
    </row>
    <row r="940" spans="1:19" x14ac:dyDescent="0.3">
      <c r="A940" t="s">
        <v>1925</v>
      </c>
      <c r="B940" t="s">
        <v>1926</v>
      </c>
      <c r="C940" t="s">
        <v>41</v>
      </c>
      <c r="F940" t="s">
        <v>23</v>
      </c>
      <c r="G940" t="s">
        <v>66</v>
      </c>
      <c r="H940">
        <v>41</v>
      </c>
      <c r="I940" s="1">
        <v>38948</v>
      </c>
      <c r="J940" s="2">
        <v>70566</v>
      </c>
      <c r="K940" s="3">
        <v>0</v>
      </c>
      <c r="L940" t="s">
        <v>25</v>
      </c>
      <c r="M940" t="s">
        <v>70</v>
      </c>
      <c r="N940" s="2">
        <f>Employee_Data[[#This Row],[Basic Salary]]*10%</f>
        <v>588.05000000000007</v>
      </c>
      <c r="O940" s="4">
        <f>Employee_Data[[#This Row],[Basic Salary]]*7.5%</f>
        <v>441.03749999999997</v>
      </c>
      <c r="P940" s="2">
        <f>Employee_Data[[#This Row],[Basic Salary]]*3%</f>
        <v>176.41499999999999</v>
      </c>
      <c r="Q940" s="2">
        <f>SUM(Employee_Data[[#This Row],[Basic Salary]],Employee_Data[[#This Row],[HRA]],Employee_Data[[#This Row],[MA]],Employee_Data[[#This Row],[TA]])</f>
        <v>7086.0025000000005</v>
      </c>
      <c r="R940" s="4">
        <f>Employee_Data[[#This Row],[Basic Salary]]*12.5%</f>
        <v>735.0625</v>
      </c>
      <c r="S940" s="2">
        <f>Employee_Data[[#This Row],[Annual Salary]]/12</f>
        <v>5880.5</v>
      </c>
    </row>
    <row r="941" spans="1:19" x14ac:dyDescent="0.3">
      <c r="A941" t="s">
        <v>1927</v>
      </c>
      <c r="B941" t="s">
        <v>1928</v>
      </c>
      <c r="C941" t="s">
        <v>164</v>
      </c>
      <c r="F941" t="s">
        <v>42</v>
      </c>
      <c r="G941" t="s">
        <v>24</v>
      </c>
      <c r="H941">
        <v>56</v>
      </c>
      <c r="I941" s="1">
        <v>34155</v>
      </c>
      <c r="J941" s="2">
        <v>75435</v>
      </c>
      <c r="K941" s="3">
        <v>0</v>
      </c>
      <c r="L941" t="s">
        <v>25</v>
      </c>
      <c r="M941" t="s">
        <v>48</v>
      </c>
      <c r="N941" s="2">
        <f>Employee_Data[[#This Row],[Basic Salary]]*10%</f>
        <v>628.625</v>
      </c>
      <c r="O941" s="4">
        <f>Employee_Data[[#This Row],[Basic Salary]]*7.5%</f>
        <v>471.46875</v>
      </c>
      <c r="P941" s="2">
        <f>Employee_Data[[#This Row],[Basic Salary]]*3%</f>
        <v>188.58750000000001</v>
      </c>
      <c r="Q941" s="2">
        <f>SUM(Employee_Data[[#This Row],[Basic Salary]],Employee_Data[[#This Row],[HRA]],Employee_Data[[#This Row],[MA]],Employee_Data[[#This Row],[TA]])</f>
        <v>7574.9312499999996</v>
      </c>
      <c r="R941" s="4">
        <f>Employee_Data[[#This Row],[Basic Salary]]*12.5%</f>
        <v>785.78125</v>
      </c>
      <c r="S941" s="2">
        <f>Employee_Data[[#This Row],[Annual Salary]]/12</f>
        <v>6286.25</v>
      </c>
    </row>
    <row r="942" spans="1:19" x14ac:dyDescent="0.3">
      <c r="A942" t="s">
        <v>1929</v>
      </c>
      <c r="B942" t="s">
        <v>1930</v>
      </c>
      <c r="C942" t="s">
        <v>408</v>
      </c>
      <c r="D942" t="s">
        <v>21</v>
      </c>
      <c r="E942" t="s">
        <v>36</v>
      </c>
      <c r="F942" t="s">
        <v>42</v>
      </c>
      <c r="G942" t="s">
        <v>66</v>
      </c>
      <c r="H942">
        <v>31</v>
      </c>
      <c r="I942" s="1">
        <v>43974</v>
      </c>
      <c r="J942" s="2">
        <v>69108</v>
      </c>
      <c r="K942" s="3">
        <v>0</v>
      </c>
      <c r="L942" t="s">
        <v>25</v>
      </c>
      <c r="M942" t="s">
        <v>70</v>
      </c>
      <c r="N942" s="2">
        <f>Employee_Data[[#This Row],[Basic Salary]]*10%</f>
        <v>575.9</v>
      </c>
      <c r="O942" s="4">
        <f>Employee_Data[[#This Row],[Basic Salary]]*7.5%</f>
        <v>431.92500000000001</v>
      </c>
      <c r="P942" s="2">
        <f>Employee_Data[[#This Row],[Basic Salary]]*3%</f>
        <v>172.76999999999998</v>
      </c>
      <c r="Q942" s="2">
        <f>SUM(Employee_Data[[#This Row],[Basic Salary]],Employee_Data[[#This Row],[HRA]],Employee_Data[[#This Row],[MA]],Employee_Data[[#This Row],[TA]])</f>
        <v>6939.5949999999993</v>
      </c>
      <c r="R942" s="4">
        <f>Employee_Data[[#This Row],[Basic Salary]]*12.5%</f>
        <v>719.875</v>
      </c>
      <c r="S942" s="2">
        <f>Employee_Data[[#This Row],[Annual Salary]]/12</f>
        <v>5759</v>
      </c>
    </row>
    <row r="943" spans="1:19" x14ac:dyDescent="0.3">
      <c r="B943" t="s">
        <v>1931</v>
      </c>
      <c r="C943" t="s">
        <v>83</v>
      </c>
      <c r="D943" t="s">
        <v>61</v>
      </c>
      <c r="E943" t="s">
        <v>36</v>
      </c>
      <c r="F943" t="s">
        <v>42</v>
      </c>
      <c r="G943" t="s">
        <v>43</v>
      </c>
      <c r="H943">
        <v>40</v>
      </c>
      <c r="I943" s="1">
        <v>39569</v>
      </c>
      <c r="J943" s="2">
        <v>140589</v>
      </c>
      <c r="K943" s="3">
        <v>0.14000000000000001</v>
      </c>
      <c r="L943" t="s">
        <v>137</v>
      </c>
      <c r="M943" t="s">
        <v>289</v>
      </c>
      <c r="N943" s="2">
        <f>Employee_Data[[#This Row],[Basic Salary]]*10%</f>
        <v>1171.575</v>
      </c>
      <c r="O943" s="4">
        <f>Employee_Data[[#This Row],[Basic Salary]]*7.5%</f>
        <v>878.68124999999998</v>
      </c>
      <c r="P943" s="2">
        <f>Employee_Data[[#This Row],[Basic Salary]]*3%</f>
        <v>351.47249999999997</v>
      </c>
      <c r="Q943" s="2">
        <f>SUM(Employee_Data[[#This Row],[Basic Salary]],Employee_Data[[#This Row],[HRA]],Employee_Data[[#This Row],[MA]],Employee_Data[[#This Row],[TA]])</f>
        <v>14117.47875</v>
      </c>
      <c r="R943" s="4">
        <f>Employee_Data[[#This Row],[Basic Salary]]*12.5%</f>
        <v>1464.46875</v>
      </c>
      <c r="S943" s="2">
        <f>Employee_Data[[#This Row],[Annual Salary]]/12</f>
        <v>11715.75</v>
      </c>
    </row>
    <row r="944" spans="1:19" x14ac:dyDescent="0.3">
      <c r="B944" t="s">
        <v>1932</v>
      </c>
      <c r="C944" t="s">
        <v>89</v>
      </c>
      <c r="D944" t="s">
        <v>55</v>
      </c>
      <c r="E944" t="s">
        <v>56</v>
      </c>
      <c r="F944" t="s">
        <v>23</v>
      </c>
      <c r="G944" t="s">
        <v>24</v>
      </c>
      <c r="H944">
        <v>51</v>
      </c>
      <c r="I944" s="1">
        <v>38896</v>
      </c>
      <c r="J944" s="2">
        <v>206423</v>
      </c>
      <c r="K944" s="3">
        <v>0.36</v>
      </c>
      <c r="L944" t="s">
        <v>37</v>
      </c>
      <c r="M944" t="s">
        <v>111</v>
      </c>
      <c r="N944" s="2">
        <f>Employee_Data[[#This Row],[Basic Salary]]*10%</f>
        <v>1720.1916666666668</v>
      </c>
      <c r="O944" s="4">
        <f>Employee_Data[[#This Row],[Basic Salary]]*7.5%</f>
        <v>1290.14375</v>
      </c>
      <c r="P944" s="2">
        <f>Employee_Data[[#This Row],[Basic Salary]]*3%</f>
        <v>516.0575</v>
      </c>
      <c r="Q944" s="2">
        <f>SUM(Employee_Data[[#This Row],[Basic Salary]],Employee_Data[[#This Row],[HRA]],Employee_Data[[#This Row],[MA]],Employee_Data[[#This Row],[TA]])</f>
        <v>20728.309583333332</v>
      </c>
      <c r="R944" s="4">
        <f>Employee_Data[[#This Row],[Basic Salary]]*12.5%</f>
        <v>2150.2395833333335</v>
      </c>
      <c r="S944" s="2">
        <f>Employee_Data[[#This Row],[Annual Salary]]/12</f>
        <v>17201.916666666668</v>
      </c>
    </row>
    <row r="945" spans="1:19" x14ac:dyDescent="0.3">
      <c r="B945" t="s">
        <v>1933</v>
      </c>
      <c r="C945" t="s">
        <v>436</v>
      </c>
      <c r="D945" t="s">
        <v>21</v>
      </c>
      <c r="E945" t="s">
        <v>56</v>
      </c>
      <c r="F945" t="s">
        <v>42</v>
      </c>
      <c r="G945" t="s">
        <v>24</v>
      </c>
      <c r="H945">
        <v>49</v>
      </c>
      <c r="I945" s="1">
        <v>44356</v>
      </c>
      <c r="J945" s="2">
        <v>123738</v>
      </c>
      <c r="K945" s="3">
        <v>0</v>
      </c>
      <c r="L945" t="s">
        <v>25</v>
      </c>
      <c r="M945" t="s">
        <v>51</v>
      </c>
      <c r="N945" s="2">
        <f>Employee_Data[[#This Row],[Basic Salary]]*10%</f>
        <v>1031.1500000000001</v>
      </c>
      <c r="O945" s="4">
        <f>Employee_Data[[#This Row],[Basic Salary]]*7.5%</f>
        <v>773.36249999999995</v>
      </c>
      <c r="P945" s="2">
        <f>Employee_Data[[#This Row],[Basic Salary]]*3%</f>
        <v>309.34499999999997</v>
      </c>
      <c r="Q945" s="2">
        <f>SUM(Employee_Data[[#This Row],[Basic Salary]],Employee_Data[[#This Row],[HRA]],Employee_Data[[#This Row],[MA]],Employee_Data[[#This Row],[TA]])</f>
        <v>12425.357499999998</v>
      </c>
      <c r="R945" s="4">
        <f>Employee_Data[[#This Row],[Basic Salary]]*12.5%</f>
        <v>1288.9375</v>
      </c>
      <c r="S945" s="2">
        <f>Employee_Data[[#This Row],[Annual Salary]]/12</f>
        <v>10311.5</v>
      </c>
    </row>
    <row r="946" spans="1:19" x14ac:dyDescent="0.3">
      <c r="B946" t="s">
        <v>1934</v>
      </c>
      <c r="C946" t="s">
        <v>247</v>
      </c>
      <c r="D946" t="s">
        <v>126</v>
      </c>
      <c r="E946" t="s">
        <v>36</v>
      </c>
      <c r="F946" t="s">
        <v>23</v>
      </c>
      <c r="G946" t="s">
        <v>66</v>
      </c>
      <c r="H946">
        <v>34</v>
      </c>
      <c r="I946" s="1">
        <v>43478</v>
      </c>
      <c r="J946" s="2">
        <v>58120</v>
      </c>
      <c r="K946" s="3">
        <v>0</v>
      </c>
      <c r="L946" t="s">
        <v>25</v>
      </c>
      <c r="M946" t="s">
        <v>48</v>
      </c>
      <c r="N946" s="2">
        <f>Employee_Data[[#This Row],[Basic Salary]]*10%</f>
        <v>484.33333333333331</v>
      </c>
      <c r="O946" s="4">
        <f>Employee_Data[[#This Row],[Basic Salary]]*7.5%</f>
        <v>363.24999999999994</v>
      </c>
      <c r="P946" s="2">
        <f>Employee_Data[[#This Row],[Basic Salary]]*3%</f>
        <v>145.29999999999998</v>
      </c>
      <c r="Q946" s="2">
        <f>SUM(Employee_Data[[#This Row],[Basic Salary]],Employee_Data[[#This Row],[HRA]],Employee_Data[[#This Row],[MA]],Employee_Data[[#This Row],[TA]])</f>
        <v>5836.2166666666662</v>
      </c>
      <c r="R946" s="4">
        <f>Employee_Data[[#This Row],[Basic Salary]]*12.5%</f>
        <v>605.41666666666663</v>
      </c>
      <c r="S946" s="2">
        <f>Employee_Data[[#This Row],[Annual Salary]]/12</f>
        <v>4843.333333333333</v>
      </c>
    </row>
    <row r="947" spans="1:19" x14ac:dyDescent="0.3">
      <c r="A947" t="s">
        <v>1935</v>
      </c>
      <c r="B947" t="s">
        <v>1936</v>
      </c>
      <c r="C947" t="s">
        <v>35</v>
      </c>
      <c r="D947" t="s">
        <v>4</v>
      </c>
      <c r="E947" t="s">
        <v>31</v>
      </c>
      <c r="F947" t="s">
        <v>42</v>
      </c>
      <c r="G947" t="s">
        <v>66</v>
      </c>
      <c r="H947">
        <v>48</v>
      </c>
      <c r="J947" s="2">
        <v>62672</v>
      </c>
      <c r="K947" s="3">
        <v>0</v>
      </c>
      <c r="L947" t="s">
        <v>25</v>
      </c>
      <c r="M947" t="s">
        <v>32</v>
      </c>
      <c r="N947" s="2">
        <f>Employee_Data[[#This Row],[Basic Salary]]*10%</f>
        <v>522.26666666666677</v>
      </c>
      <c r="O947" s="4">
        <f>Employee_Data[[#This Row],[Basic Salary]]*7.5%</f>
        <v>391.7</v>
      </c>
      <c r="P947" s="2">
        <f>Employee_Data[[#This Row],[Basic Salary]]*3%</f>
        <v>156.68</v>
      </c>
      <c r="Q947" s="2">
        <f>SUM(Employee_Data[[#This Row],[Basic Salary]],Employee_Data[[#This Row],[HRA]],Employee_Data[[#This Row],[MA]],Employee_Data[[#This Row],[TA]])</f>
        <v>6293.3133333333335</v>
      </c>
      <c r="R947" s="4">
        <f>Employee_Data[[#This Row],[Basic Salary]]*12.5%</f>
        <v>652.83333333333337</v>
      </c>
      <c r="S947" s="2">
        <f>Employee_Data[[#This Row],[Annual Salary]]/12</f>
        <v>5222.666666666667</v>
      </c>
    </row>
    <row r="948" spans="1:19" x14ac:dyDescent="0.3">
      <c r="A948" t="s">
        <v>1937</v>
      </c>
      <c r="B948" t="s">
        <v>1938</v>
      </c>
      <c r="C948" t="s">
        <v>134</v>
      </c>
      <c r="D948" t="s">
        <v>21</v>
      </c>
      <c r="E948" t="s">
        <v>36</v>
      </c>
      <c r="F948" t="s">
        <v>42</v>
      </c>
      <c r="H948">
        <v>45</v>
      </c>
      <c r="J948" s="2">
        <v>92037</v>
      </c>
      <c r="K948" s="3">
        <v>0</v>
      </c>
      <c r="L948" t="s">
        <v>25</v>
      </c>
      <c r="M948" t="s">
        <v>51</v>
      </c>
      <c r="N948" s="2">
        <f>Employee_Data[[#This Row],[Basic Salary]]*10%</f>
        <v>766.97500000000002</v>
      </c>
      <c r="O948" s="4">
        <f>Employee_Data[[#This Row],[Basic Salary]]*7.5%</f>
        <v>575.23124999999993</v>
      </c>
      <c r="P948" s="2">
        <f>Employee_Data[[#This Row],[Basic Salary]]*3%</f>
        <v>230.0925</v>
      </c>
      <c r="Q948" s="2">
        <f>SUM(Employee_Data[[#This Row],[Basic Salary]],Employee_Data[[#This Row],[HRA]],Employee_Data[[#This Row],[MA]],Employee_Data[[#This Row],[TA]])</f>
        <v>9242.0487500000017</v>
      </c>
      <c r="R948" s="4">
        <f>Employee_Data[[#This Row],[Basic Salary]]*12.5%</f>
        <v>958.71875</v>
      </c>
      <c r="S948" s="2">
        <f>Employee_Data[[#This Row],[Annual Salary]]/12</f>
        <v>7669.75</v>
      </c>
    </row>
    <row r="949" spans="1:19" x14ac:dyDescent="0.3">
      <c r="A949" t="s">
        <v>1939</v>
      </c>
      <c r="B949" t="s">
        <v>1940</v>
      </c>
      <c r="C949" t="s">
        <v>89</v>
      </c>
      <c r="D949" t="s">
        <v>126</v>
      </c>
      <c r="E949" t="s">
        <v>56</v>
      </c>
      <c r="F949" t="s">
        <v>42</v>
      </c>
      <c r="H949">
        <v>53</v>
      </c>
      <c r="J949" s="2">
        <v>258722</v>
      </c>
      <c r="K949" s="3">
        <v>0.36</v>
      </c>
      <c r="L949" t="s">
        <v>25</v>
      </c>
      <c r="M949" t="s">
        <v>51</v>
      </c>
      <c r="N949" s="2">
        <f>Employee_Data[[#This Row],[Basic Salary]]*10%</f>
        <v>2156.0166666666669</v>
      </c>
      <c r="O949" s="4">
        <f>Employee_Data[[#This Row],[Basic Salary]]*7.5%</f>
        <v>1617.0125</v>
      </c>
      <c r="P949" s="2">
        <f>Employee_Data[[#This Row],[Basic Salary]]*3%</f>
        <v>646.80500000000006</v>
      </c>
      <c r="Q949" s="2">
        <f>SUM(Employee_Data[[#This Row],[Basic Salary]],Employee_Data[[#This Row],[HRA]],Employee_Data[[#This Row],[MA]],Employee_Data[[#This Row],[TA]])</f>
        <v>25980.000833333335</v>
      </c>
      <c r="R949" s="4">
        <f>Employee_Data[[#This Row],[Basic Salary]]*12.5%</f>
        <v>2695.0208333333335</v>
      </c>
      <c r="S949" s="2">
        <f>Employee_Data[[#This Row],[Annual Salary]]/12</f>
        <v>21560.166666666668</v>
      </c>
    </row>
    <row r="950" spans="1:19" x14ac:dyDescent="0.3">
      <c r="A950" t="s">
        <v>1941</v>
      </c>
      <c r="B950" t="s">
        <v>1942</v>
      </c>
      <c r="C950" t="s">
        <v>408</v>
      </c>
      <c r="D950" t="s">
        <v>21</v>
      </c>
      <c r="E950" t="s">
        <v>31</v>
      </c>
      <c r="F950" t="s">
        <v>42</v>
      </c>
      <c r="H950">
        <v>55</v>
      </c>
      <c r="J950" s="2">
        <v>64809</v>
      </c>
      <c r="K950" s="3">
        <v>0</v>
      </c>
      <c r="L950" t="s">
        <v>137</v>
      </c>
      <c r="M950" t="s">
        <v>138</v>
      </c>
      <c r="N950" s="2">
        <f>Employee_Data[[#This Row],[Basic Salary]]*10%</f>
        <v>540.07500000000005</v>
      </c>
      <c r="O950" s="4">
        <f>Employee_Data[[#This Row],[Basic Salary]]*7.5%</f>
        <v>405.05624999999998</v>
      </c>
      <c r="P950" s="2">
        <f>Employee_Data[[#This Row],[Basic Salary]]*3%</f>
        <v>162.02250000000001</v>
      </c>
      <c r="Q950" s="2">
        <f>SUM(Employee_Data[[#This Row],[Basic Salary]],Employee_Data[[#This Row],[HRA]],Employee_Data[[#This Row],[MA]],Employee_Data[[#This Row],[TA]])</f>
        <v>6507.9037499999995</v>
      </c>
      <c r="R950" s="4">
        <f>Employee_Data[[#This Row],[Basic Salary]]*12.5%</f>
        <v>675.09375</v>
      </c>
      <c r="S950" s="2">
        <f>Employee_Data[[#This Row],[Annual Salary]]/12</f>
        <v>5400.75</v>
      </c>
    </row>
    <row r="951" spans="1:19" x14ac:dyDescent="0.3">
      <c r="A951" t="s">
        <v>1943</v>
      </c>
      <c r="B951" t="s">
        <v>1944</v>
      </c>
      <c r="C951" t="s">
        <v>413</v>
      </c>
      <c r="D951" t="s">
        <v>21</v>
      </c>
      <c r="E951" t="s">
        <v>31</v>
      </c>
      <c r="F951" t="s">
        <v>42</v>
      </c>
      <c r="H951">
        <v>56</v>
      </c>
      <c r="J951" s="2">
        <v>95577</v>
      </c>
      <c r="K951" s="3">
        <v>0</v>
      </c>
      <c r="L951" t="s">
        <v>37</v>
      </c>
      <c r="M951" t="s">
        <v>38</v>
      </c>
      <c r="N951" s="2">
        <f>Employee_Data[[#This Row],[Basic Salary]]*10%</f>
        <v>796.47500000000002</v>
      </c>
      <c r="O951" s="4">
        <f>Employee_Data[[#This Row],[Basic Salary]]*7.5%</f>
        <v>597.35624999999993</v>
      </c>
      <c r="P951" s="2">
        <f>Employee_Data[[#This Row],[Basic Salary]]*3%</f>
        <v>238.9425</v>
      </c>
      <c r="Q951" s="2">
        <f>SUM(Employee_Data[[#This Row],[Basic Salary]],Employee_Data[[#This Row],[HRA]],Employee_Data[[#This Row],[MA]],Employee_Data[[#This Row],[TA]])</f>
        <v>9597.5237500000003</v>
      </c>
      <c r="R951" s="4">
        <f>Employee_Data[[#This Row],[Basic Salary]]*12.5%</f>
        <v>995.59375</v>
      </c>
      <c r="S951" s="2">
        <f>Employee_Data[[#This Row],[Annual Salary]]/12</f>
        <v>7964.75</v>
      </c>
    </row>
    <row r="952" spans="1:19" x14ac:dyDescent="0.3">
      <c r="A952" t="s">
        <v>1945</v>
      </c>
      <c r="B952" t="s">
        <v>1946</v>
      </c>
      <c r="C952" t="s">
        <v>408</v>
      </c>
      <c r="D952" t="s">
        <v>21</v>
      </c>
      <c r="E952" t="s">
        <v>36</v>
      </c>
      <c r="F952" t="s">
        <v>42</v>
      </c>
      <c r="G952" t="s">
        <v>24</v>
      </c>
      <c r="H952">
        <v>41</v>
      </c>
      <c r="J952" s="2">
        <v>73059</v>
      </c>
      <c r="K952" s="3">
        <v>0</v>
      </c>
      <c r="L952" t="s">
        <v>37</v>
      </c>
      <c r="M952" t="s">
        <v>38</v>
      </c>
      <c r="N952" s="2">
        <f>Employee_Data[[#This Row],[Basic Salary]]*10%</f>
        <v>608.82500000000005</v>
      </c>
      <c r="O952" s="4">
        <f>Employee_Data[[#This Row],[Basic Salary]]*7.5%</f>
        <v>456.61874999999998</v>
      </c>
      <c r="P952" s="2">
        <f>Employee_Data[[#This Row],[Basic Salary]]*3%</f>
        <v>182.64749999999998</v>
      </c>
      <c r="Q952" s="2">
        <f>SUM(Employee_Data[[#This Row],[Basic Salary]],Employee_Data[[#This Row],[HRA]],Employee_Data[[#This Row],[MA]],Employee_Data[[#This Row],[TA]])</f>
        <v>7336.3412499999995</v>
      </c>
      <c r="R952" s="4">
        <f>Employee_Data[[#This Row],[Basic Salary]]*12.5%</f>
        <v>761.03125</v>
      </c>
      <c r="S952" s="2">
        <f>Employee_Data[[#This Row],[Annual Salary]]/12</f>
        <v>6088.25</v>
      </c>
    </row>
    <row r="953" spans="1:19" x14ac:dyDescent="0.3">
      <c r="A953" t="s">
        <v>1947</v>
      </c>
      <c r="C953" t="s">
        <v>29</v>
      </c>
      <c r="D953" t="s">
        <v>30</v>
      </c>
      <c r="E953" t="s">
        <v>56</v>
      </c>
      <c r="F953" t="s">
        <v>23</v>
      </c>
      <c r="G953" t="s">
        <v>43</v>
      </c>
      <c r="H953">
        <v>55</v>
      </c>
      <c r="J953" s="2">
        <v>54641</v>
      </c>
      <c r="K953" s="3">
        <v>0</v>
      </c>
      <c r="L953" t="s">
        <v>137</v>
      </c>
      <c r="M953" t="s">
        <v>183</v>
      </c>
      <c r="N953" s="2">
        <f>Employee_Data[[#This Row],[Basic Salary]]*10%</f>
        <v>455.3416666666667</v>
      </c>
      <c r="O953" s="4">
        <f>Employee_Data[[#This Row],[Basic Salary]]*7.5%</f>
        <v>341.50625000000002</v>
      </c>
      <c r="P953" s="2">
        <f>Employee_Data[[#This Row],[Basic Salary]]*3%</f>
        <v>136.60249999999999</v>
      </c>
      <c r="Q953" s="2">
        <f>SUM(Employee_Data[[#This Row],[Basic Salary]],Employee_Data[[#This Row],[HRA]],Employee_Data[[#This Row],[MA]],Employee_Data[[#This Row],[TA]])</f>
        <v>5486.8670833333335</v>
      </c>
      <c r="R953" s="4">
        <f>Employee_Data[[#This Row],[Basic Salary]]*12.5%</f>
        <v>569.17708333333337</v>
      </c>
      <c r="S953" s="2">
        <f>Employee_Data[[#This Row],[Annual Salary]]/12</f>
        <v>4553.416666666667</v>
      </c>
    </row>
    <row r="954" spans="1:19" x14ac:dyDescent="0.3">
      <c r="A954" t="s">
        <v>1948</v>
      </c>
      <c r="C954" t="s">
        <v>413</v>
      </c>
      <c r="D954" t="s">
        <v>21</v>
      </c>
      <c r="E954" t="s">
        <v>56</v>
      </c>
      <c r="F954" t="s">
        <v>23</v>
      </c>
      <c r="G954" t="s">
        <v>24</v>
      </c>
      <c r="H954">
        <v>42</v>
      </c>
      <c r="I954" s="1">
        <v>42138</v>
      </c>
      <c r="J954" s="2">
        <v>93851</v>
      </c>
      <c r="K954" s="3">
        <v>0</v>
      </c>
      <c r="L954" t="s">
        <v>25</v>
      </c>
      <c r="M954" t="s">
        <v>70</v>
      </c>
      <c r="N954" s="2">
        <f>Employee_Data[[#This Row],[Basic Salary]]*10%</f>
        <v>782.0916666666667</v>
      </c>
      <c r="O954" s="4">
        <f>Employee_Data[[#This Row],[Basic Salary]]*7.5%</f>
        <v>586.56875000000002</v>
      </c>
      <c r="P954" s="2">
        <f>Employee_Data[[#This Row],[Basic Salary]]*3%</f>
        <v>234.6275</v>
      </c>
      <c r="Q954" s="2">
        <f>SUM(Employee_Data[[#This Row],[Basic Salary]],Employee_Data[[#This Row],[HRA]],Employee_Data[[#This Row],[MA]],Employee_Data[[#This Row],[TA]])</f>
        <v>9424.2045833333341</v>
      </c>
      <c r="R954" s="4">
        <f>Employee_Data[[#This Row],[Basic Salary]]*12.5%</f>
        <v>977.61458333333337</v>
      </c>
      <c r="S954" s="2">
        <f>Employee_Data[[#This Row],[Annual Salary]]/12</f>
        <v>7820.916666666667</v>
      </c>
    </row>
    <row r="955" spans="1:19" x14ac:dyDescent="0.3">
      <c r="A955" t="s">
        <v>1949</v>
      </c>
      <c r="C955" t="s">
        <v>54</v>
      </c>
      <c r="D955" t="s">
        <v>30</v>
      </c>
      <c r="E955" t="s">
        <v>36</v>
      </c>
      <c r="F955" t="s">
        <v>23</v>
      </c>
      <c r="G955" t="s">
        <v>84</v>
      </c>
      <c r="H955">
        <v>30</v>
      </c>
      <c r="I955" s="1">
        <v>44578</v>
      </c>
      <c r="J955" s="2">
        <v>96010</v>
      </c>
      <c r="K955" s="3">
        <v>0</v>
      </c>
      <c r="L955" t="s">
        <v>25</v>
      </c>
      <c r="M955" t="s">
        <v>32</v>
      </c>
      <c r="N955" s="2">
        <f>Employee_Data[[#This Row],[Basic Salary]]*10%</f>
        <v>800.08333333333337</v>
      </c>
      <c r="O955" s="4">
        <f>Employee_Data[[#This Row],[Basic Salary]]*7.5%</f>
        <v>600.0625</v>
      </c>
      <c r="P955" s="2">
        <f>Employee_Data[[#This Row],[Basic Salary]]*3%</f>
        <v>240.02499999999998</v>
      </c>
      <c r="Q955" s="2">
        <f>SUM(Employee_Data[[#This Row],[Basic Salary]],Employee_Data[[#This Row],[HRA]],Employee_Data[[#This Row],[MA]],Employee_Data[[#This Row],[TA]])</f>
        <v>9641.0041666666657</v>
      </c>
      <c r="R955" s="4">
        <f>Employee_Data[[#This Row],[Basic Salary]]*12.5%</f>
        <v>1000.1041666666666</v>
      </c>
      <c r="S955" s="2">
        <f>Employee_Data[[#This Row],[Annual Salary]]/12</f>
        <v>8000.833333333333</v>
      </c>
    </row>
    <row r="956" spans="1:19" x14ac:dyDescent="0.3">
      <c r="A956" t="s">
        <v>1950</v>
      </c>
      <c r="C956" t="s">
        <v>35</v>
      </c>
      <c r="D956" t="s">
        <v>4</v>
      </c>
      <c r="E956" t="s">
        <v>36</v>
      </c>
      <c r="F956" t="s">
        <v>23</v>
      </c>
      <c r="G956" t="s">
        <v>24</v>
      </c>
      <c r="H956">
        <v>44</v>
      </c>
      <c r="I956" s="1">
        <v>38054</v>
      </c>
      <c r="J956" s="2">
        <v>73386</v>
      </c>
      <c r="K956" s="3">
        <v>0</v>
      </c>
      <c r="L956" t="s">
        <v>37</v>
      </c>
      <c r="M956" t="s">
        <v>57</v>
      </c>
      <c r="N956" s="2">
        <f>Employee_Data[[#This Row],[Basic Salary]]*10%</f>
        <v>611.55000000000007</v>
      </c>
      <c r="O956" s="4">
        <f>Employee_Data[[#This Row],[Basic Salary]]*7.5%</f>
        <v>458.66249999999997</v>
      </c>
      <c r="P956" s="2">
        <f>Employee_Data[[#This Row],[Basic Salary]]*3%</f>
        <v>183.465</v>
      </c>
      <c r="Q956" s="2">
        <f>SUM(Employee_Data[[#This Row],[Basic Salary]],Employee_Data[[#This Row],[HRA]],Employee_Data[[#This Row],[MA]],Employee_Data[[#This Row],[TA]])</f>
        <v>7369.1775000000007</v>
      </c>
      <c r="R956" s="4">
        <f>Employee_Data[[#This Row],[Basic Salary]]*12.5%</f>
        <v>764.4375</v>
      </c>
      <c r="S956" s="2">
        <f>Employee_Data[[#This Row],[Annual Salary]]/12</f>
        <v>6115.5</v>
      </c>
    </row>
    <row r="957" spans="1:19" x14ac:dyDescent="0.3">
      <c r="A957" t="s">
        <v>1951</v>
      </c>
      <c r="C957" t="s">
        <v>54</v>
      </c>
      <c r="D957" t="s">
        <v>55</v>
      </c>
      <c r="E957" t="s">
        <v>36</v>
      </c>
      <c r="F957" t="s">
        <v>42</v>
      </c>
      <c r="G957" t="s">
        <v>24</v>
      </c>
      <c r="H957">
        <v>49</v>
      </c>
      <c r="I957" s="1">
        <v>36448</v>
      </c>
      <c r="J957" s="2">
        <v>95033</v>
      </c>
      <c r="K957" s="3">
        <v>0</v>
      </c>
      <c r="L957" t="s">
        <v>25</v>
      </c>
      <c r="M957" t="s">
        <v>48</v>
      </c>
      <c r="N957" s="2">
        <f>Employee_Data[[#This Row],[Basic Salary]]*10%</f>
        <v>791.94166666666672</v>
      </c>
      <c r="O957" s="4">
        <f>Employee_Data[[#This Row],[Basic Salary]]*7.5%</f>
        <v>593.95624999999995</v>
      </c>
      <c r="P957" s="2">
        <f>Employee_Data[[#This Row],[Basic Salary]]*3%</f>
        <v>237.58250000000001</v>
      </c>
      <c r="Q957" s="2">
        <f>SUM(Employee_Data[[#This Row],[Basic Salary]],Employee_Data[[#This Row],[HRA]],Employee_Data[[#This Row],[MA]],Employee_Data[[#This Row],[TA]])</f>
        <v>9542.8970833333333</v>
      </c>
      <c r="R957" s="4">
        <f>Employee_Data[[#This Row],[Basic Salary]]*12.5%</f>
        <v>989.92708333333337</v>
      </c>
      <c r="S957" s="2">
        <f>Employee_Data[[#This Row],[Annual Salary]]/12</f>
        <v>7919.416666666667</v>
      </c>
    </row>
    <row r="958" spans="1:19" x14ac:dyDescent="0.3">
      <c r="A958" t="s">
        <v>1952</v>
      </c>
      <c r="C958" t="s">
        <v>89</v>
      </c>
      <c r="D958" t="s">
        <v>21</v>
      </c>
      <c r="E958" t="s">
        <v>56</v>
      </c>
      <c r="F958" t="s">
        <v>42</v>
      </c>
      <c r="G958" t="s">
        <v>43</v>
      </c>
      <c r="H958">
        <v>43</v>
      </c>
      <c r="I958" s="1">
        <v>40858</v>
      </c>
      <c r="J958" s="2">
        <v>185211</v>
      </c>
      <c r="K958" s="3">
        <v>0.39</v>
      </c>
      <c r="L958" t="s">
        <v>137</v>
      </c>
      <c r="M958" t="s">
        <v>183</v>
      </c>
      <c r="N958" s="2">
        <f>Employee_Data[[#This Row],[Basic Salary]]*10%</f>
        <v>1543.4250000000002</v>
      </c>
      <c r="O958" s="4">
        <f>Employee_Data[[#This Row],[Basic Salary]]*7.5%</f>
        <v>1157.5687499999999</v>
      </c>
      <c r="P958" s="2">
        <f>Employee_Data[[#This Row],[Basic Salary]]*3%</f>
        <v>463.02749999999997</v>
      </c>
      <c r="Q958" s="2">
        <f>SUM(Employee_Data[[#This Row],[Basic Salary]],Employee_Data[[#This Row],[HRA]],Employee_Data[[#This Row],[MA]],Employee_Data[[#This Row],[TA]])</f>
        <v>18598.271249999998</v>
      </c>
      <c r="R958" s="4">
        <f>Employee_Data[[#This Row],[Basic Salary]]*12.5%</f>
        <v>1929.28125</v>
      </c>
      <c r="S958" s="2">
        <f>Employee_Data[[#This Row],[Annual Salary]]/12</f>
        <v>15434.25</v>
      </c>
    </row>
    <row r="959" spans="1:19" x14ac:dyDescent="0.3">
      <c r="A959" t="s">
        <v>1953</v>
      </c>
      <c r="C959" t="s">
        <v>69</v>
      </c>
      <c r="D959" t="s">
        <v>80</v>
      </c>
      <c r="E959" t="s">
        <v>56</v>
      </c>
      <c r="F959" t="s">
        <v>42</v>
      </c>
      <c r="G959" t="s">
        <v>24</v>
      </c>
      <c r="H959">
        <v>53</v>
      </c>
      <c r="I959" s="1">
        <v>41734</v>
      </c>
      <c r="J959" s="2">
        <v>125099</v>
      </c>
      <c r="K959" s="3">
        <v>0.08</v>
      </c>
      <c r="L959" t="s">
        <v>37</v>
      </c>
      <c r="M959" t="s">
        <v>62</v>
      </c>
      <c r="N959" s="2">
        <f>Employee_Data[[#This Row],[Basic Salary]]*10%</f>
        <v>1042.4916666666666</v>
      </c>
      <c r="O959" s="4">
        <f>Employee_Data[[#This Row],[Basic Salary]]*7.5%</f>
        <v>781.86874999999998</v>
      </c>
      <c r="P959" s="2">
        <f>Employee_Data[[#This Row],[Basic Salary]]*3%</f>
        <v>312.74749999999995</v>
      </c>
      <c r="Q959" s="2">
        <f>SUM(Employee_Data[[#This Row],[Basic Salary]],Employee_Data[[#This Row],[HRA]],Employee_Data[[#This Row],[MA]],Employee_Data[[#This Row],[TA]])</f>
        <v>12562.024583333332</v>
      </c>
      <c r="R959" s="4">
        <f>Employee_Data[[#This Row],[Basic Salary]]*12.5%</f>
        <v>1303.1145833333333</v>
      </c>
      <c r="S959" s="2">
        <f>Employee_Data[[#This Row],[Annual Salary]]/12</f>
        <v>10424.916666666666</v>
      </c>
    </row>
    <row r="960" spans="1:19" x14ac:dyDescent="0.3">
      <c r="C960" t="s">
        <v>54</v>
      </c>
      <c r="D960" t="s">
        <v>30</v>
      </c>
      <c r="E960" t="s">
        <v>22</v>
      </c>
      <c r="F960" t="s">
        <v>23</v>
      </c>
      <c r="G960" t="s">
        <v>43</v>
      </c>
      <c r="H960">
        <v>41</v>
      </c>
      <c r="I960" s="1">
        <v>40682</v>
      </c>
      <c r="J960" s="2">
        <v>84627</v>
      </c>
      <c r="K960" s="3">
        <v>0</v>
      </c>
      <c r="L960" t="s">
        <v>137</v>
      </c>
      <c r="M960" t="s">
        <v>289</v>
      </c>
      <c r="N960" s="2">
        <f>Employee_Data[[#This Row],[Basic Salary]]*10%</f>
        <v>705.22500000000002</v>
      </c>
      <c r="O960" s="4">
        <f>Employee_Data[[#This Row],[Basic Salary]]*7.5%</f>
        <v>528.91874999999993</v>
      </c>
      <c r="P960" s="2">
        <f>Employee_Data[[#This Row],[Basic Salary]]*3%</f>
        <v>211.5675</v>
      </c>
      <c r="Q960" s="2">
        <f>SUM(Employee_Data[[#This Row],[Basic Salary]],Employee_Data[[#This Row],[HRA]],Employee_Data[[#This Row],[MA]],Employee_Data[[#This Row],[TA]])</f>
        <v>8497.9612500000003</v>
      </c>
      <c r="R960" s="4">
        <f>Employee_Data[[#This Row],[Basic Salary]]*12.5%</f>
        <v>881.53125</v>
      </c>
      <c r="S960" s="2">
        <f>Employee_Data[[#This Row],[Annual Salary]]/12</f>
        <v>7052.25</v>
      </c>
    </row>
    <row r="961" spans="1:19" x14ac:dyDescent="0.3">
      <c r="B961" t="s">
        <v>1954</v>
      </c>
      <c r="C961" t="s">
        <v>89</v>
      </c>
      <c r="D961" t="s">
        <v>21</v>
      </c>
      <c r="E961" t="s">
        <v>31</v>
      </c>
      <c r="F961" t="s">
        <v>23</v>
      </c>
      <c r="H961">
        <v>26</v>
      </c>
      <c r="I961" s="1">
        <v>43892</v>
      </c>
      <c r="J961" s="2">
        <v>211114</v>
      </c>
      <c r="K961" s="3">
        <v>0.3</v>
      </c>
      <c r="L961" t="s">
        <v>25</v>
      </c>
      <c r="M961" t="s">
        <v>70</v>
      </c>
      <c r="N961" s="2">
        <f>Employee_Data[[#This Row],[Basic Salary]]*10%</f>
        <v>1759.2833333333333</v>
      </c>
      <c r="O961" s="4">
        <f>Employee_Data[[#This Row],[Basic Salary]]*7.5%</f>
        <v>1319.4624999999999</v>
      </c>
      <c r="P961" s="2">
        <f>Employee_Data[[#This Row],[Basic Salary]]*3%</f>
        <v>527.78499999999997</v>
      </c>
      <c r="Q961" s="2">
        <f>SUM(Employee_Data[[#This Row],[Basic Salary]],Employee_Data[[#This Row],[HRA]],Employee_Data[[#This Row],[MA]],Employee_Data[[#This Row],[TA]])</f>
        <v>21199.364166666666</v>
      </c>
      <c r="R961" s="4">
        <f>Employee_Data[[#This Row],[Basic Salary]]*12.5%</f>
        <v>2199.1041666666665</v>
      </c>
      <c r="S961" s="2">
        <f>Employee_Data[[#This Row],[Annual Salary]]/12</f>
        <v>17592.833333333332</v>
      </c>
    </row>
    <row r="962" spans="1:19" x14ac:dyDescent="0.3">
      <c r="A962" t="s">
        <v>1955</v>
      </c>
      <c r="B962" t="s">
        <v>1956</v>
      </c>
      <c r="D962" t="s">
        <v>80</v>
      </c>
      <c r="E962" t="s">
        <v>36</v>
      </c>
      <c r="F962" t="s">
        <v>42</v>
      </c>
      <c r="H962">
        <v>57</v>
      </c>
      <c r="I962" s="1">
        <v>35087</v>
      </c>
      <c r="J962" s="2">
        <v>73117</v>
      </c>
      <c r="K962" s="3">
        <v>0</v>
      </c>
      <c r="L962" t="s">
        <v>25</v>
      </c>
      <c r="M962" t="s">
        <v>26</v>
      </c>
      <c r="N962" s="2">
        <f>Employee_Data[[#This Row],[Basic Salary]]*10%</f>
        <v>609.30833333333328</v>
      </c>
      <c r="O962" s="4">
        <f>Employee_Data[[#This Row],[Basic Salary]]*7.5%</f>
        <v>456.98124999999999</v>
      </c>
      <c r="P962" s="2">
        <f>Employee_Data[[#This Row],[Basic Salary]]*3%</f>
        <v>182.79249999999999</v>
      </c>
      <c r="Q962" s="2">
        <f>SUM(Employee_Data[[#This Row],[Basic Salary]],Employee_Data[[#This Row],[HRA]],Employee_Data[[#This Row],[MA]],Employee_Data[[#This Row],[TA]])</f>
        <v>7342.1654166666658</v>
      </c>
      <c r="R962" s="4">
        <f>Employee_Data[[#This Row],[Basic Salary]]*12.5%</f>
        <v>761.63541666666663</v>
      </c>
      <c r="S962" s="2">
        <f>Employee_Data[[#This Row],[Annual Salary]]/12</f>
        <v>6093.083333333333</v>
      </c>
    </row>
    <row r="963" spans="1:19" x14ac:dyDescent="0.3">
      <c r="A963" t="s">
        <v>1957</v>
      </c>
      <c r="B963" t="s">
        <v>1958</v>
      </c>
      <c r="F963" t="s">
        <v>23</v>
      </c>
      <c r="H963">
        <v>41</v>
      </c>
      <c r="I963" s="1">
        <v>43151</v>
      </c>
      <c r="J963" s="2">
        <v>55330</v>
      </c>
      <c r="K963" s="3">
        <v>0</v>
      </c>
      <c r="L963" t="s">
        <v>25</v>
      </c>
      <c r="M963" t="s">
        <v>48</v>
      </c>
      <c r="N963" s="2">
        <f>Employee_Data[[#This Row],[Basic Salary]]*10%</f>
        <v>461.08333333333331</v>
      </c>
      <c r="O963" s="4">
        <f>Employee_Data[[#This Row],[Basic Salary]]*7.5%</f>
        <v>345.81249999999994</v>
      </c>
      <c r="P963" s="2">
        <f>Employee_Data[[#This Row],[Basic Salary]]*3%</f>
        <v>138.32499999999999</v>
      </c>
      <c r="Q963" s="2">
        <f>SUM(Employee_Data[[#This Row],[Basic Salary]],Employee_Data[[#This Row],[HRA]],Employee_Data[[#This Row],[MA]],Employee_Data[[#This Row],[TA]])</f>
        <v>5556.0541666666659</v>
      </c>
      <c r="R963" s="4">
        <f>Employee_Data[[#This Row],[Basic Salary]]*12.5%</f>
        <v>576.35416666666663</v>
      </c>
      <c r="S963" s="2">
        <f>Employee_Data[[#This Row],[Annual Salary]]/12</f>
        <v>4610.833333333333</v>
      </c>
    </row>
    <row r="964" spans="1:19" x14ac:dyDescent="0.3">
      <c r="A964" t="s">
        <v>1959</v>
      </c>
      <c r="B964" t="s">
        <v>1960</v>
      </c>
      <c r="H964">
        <v>59</v>
      </c>
      <c r="I964" s="1">
        <v>42859</v>
      </c>
      <c r="K964" s="3">
        <v>0.17</v>
      </c>
      <c r="L964" t="s">
        <v>37</v>
      </c>
      <c r="M964" t="s">
        <v>111</v>
      </c>
      <c r="N964" s="2">
        <f>Employee_Data[[#This Row],[Basic Salary]]*10%</f>
        <v>0</v>
      </c>
      <c r="O964" s="4">
        <f>Employee_Data[[#This Row],[Basic Salary]]*7.5%</f>
        <v>0</v>
      </c>
      <c r="P964" s="2">
        <f>Employee_Data[[#This Row],[Basic Salary]]*3%</f>
        <v>0</v>
      </c>
      <c r="Q964" s="2">
        <f>SUM(Employee_Data[[#This Row],[Basic Salary]],Employee_Data[[#This Row],[HRA]],Employee_Data[[#This Row],[MA]],Employee_Data[[#This Row],[TA]])</f>
        <v>0</v>
      </c>
      <c r="R964" s="4">
        <f>Employee_Data[[#This Row],[Basic Salary]]*12.5%</f>
        <v>0</v>
      </c>
      <c r="S964" s="2">
        <f>Employee_Data[[#This Row],[Annual Salary]]/12</f>
        <v>0</v>
      </c>
    </row>
    <row r="965" spans="1:19" x14ac:dyDescent="0.3">
      <c r="A965" t="s">
        <v>1961</v>
      </c>
      <c r="B965" t="s">
        <v>1962</v>
      </c>
      <c r="H965">
        <v>59</v>
      </c>
      <c r="I965" s="1">
        <v>38504</v>
      </c>
      <c r="K965" s="3">
        <v>0.25</v>
      </c>
      <c r="L965" t="s">
        <v>25</v>
      </c>
      <c r="M965" t="s">
        <v>51</v>
      </c>
      <c r="N965" s="2">
        <f>Employee_Data[[#This Row],[Basic Salary]]*10%</f>
        <v>0</v>
      </c>
      <c r="O965" s="4">
        <f>Employee_Data[[#This Row],[Basic Salary]]*7.5%</f>
        <v>0</v>
      </c>
      <c r="P965" s="2">
        <f>Employee_Data[[#This Row],[Basic Salary]]*3%</f>
        <v>0</v>
      </c>
      <c r="Q965" s="2">
        <f>SUM(Employee_Data[[#This Row],[Basic Salary]],Employee_Data[[#This Row],[HRA]],Employee_Data[[#This Row],[MA]],Employee_Data[[#This Row],[TA]])</f>
        <v>0</v>
      </c>
      <c r="R965" s="4">
        <f>Employee_Data[[#This Row],[Basic Salary]]*12.5%</f>
        <v>0</v>
      </c>
      <c r="S965" s="2">
        <f>Employee_Data[[#This Row],[Annual Salary]]/12</f>
        <v>0</v>
      </c>
    </row>
    <row r="966" spans="1:19" x14ac:dyDescent="0.3">
      <c r="A966" t="s">
        <v>1963</v>
      </c>
      <c r="B966" t="s">
        <v>1964</v>
      </c>
      <c r="G966" t="s">
        <v>43</v>
      </c>
      <c r="H966">
        <v>54</v>
      </c>
      <c r="I966" s="1">
        <v>42334</v>
      </c>
      <c r="K966" s="3">
        <v>0</v>
      </c>
      <c r="L966" t="s">
        <v>137</v>
      </c>
      <c r="M966" t="s">
        <v>183</v>
      </c>
      <c r="N966" s="2">
        <f>Employee_Data[[#This Row],[Basic Salary]]*10%</f>
        <v>0</v>
      </c>
      <c r="O966" s="4">
        <f>Employee_Data[[#This Row],[Basic Salary]]*7.5%</f>
        <v>0</v>
      </c>
      <c r="P966" s="2">
        <f>Employee_Data[[#This Row],[Basic Salary]]*3%</f>
        <v>0</v>
      </c>
      <c r="Q966" s="2">
        <f>SUM(Employee_Data[[#This Row],[Basic Salary]],Employee_Data[[#This Row],[HRA]],Employee_Data[[#This Row],[MA]],Employee_Data[[#This Row],[TA]])</f>
        <v>0</v>
      </c>
      <c r="R966" s="4">
        <f>Employee_Data[[#This Row],[Basic Salary]]*12.5%</f>
        <v>0</v>
      </c>
      <c r="S966" s="2">
        <f>Employee_Data[[#This Row],[Annual Salary]]/12</f>
        <v>0</v>
      </c>
    </row>
    <row r="967" spans="1:19" x14ac:dyDescent="0.3">
      <c r="A967" t="s">
        <v>1965</v>
      </c>
      <c r="B967" t="s">
        <v>1966</v>
      </c>
      <c r="C967" t="s">
        <v>83</v>
      </c>
      <c r="F967" t="s">
        <v>42</v>
      </c>
      <c r="G967" t="s">
        <v>24</v>
      </c>
      <c r="H967">
        <v>44</v>
      </c>
      <c r="I967" s="1">
        <v>44846</v>
      </c>
      <c r="K967" s="3">
        <v>0.14000000000000001</v>
      </c>
      <c r="L967" t="s">
        <v>37</v>
      </c>
      <c r="M967" t="s">
        <v>57</v>
      </c>
      <c r="N967" s="2">
        <f>Employee_Data[[#This Row],[Basic Salary]]*10%</f>
        <v>0</v>
      </c>
      <c r="O967" s="4">
        <f>Employee_Data[[#This Row],[Basic Salary]]*7.5%</f>
        <v>0</v>
      </c>
      <c r="P967" s="2">
        <f>Employee_Data[[#This Row],[Basic Salary]]*3%</f>
        <v>0</v>
      </c>
      <c r="Q967" s="2">
        <f>SUM(Employee_Data[[#This Row],[Basic Salary]],Employee_Data[[#This Row],[HRA]],Employee_Data[[#This Row],[MA]],Employee_Data[[#This Row],[TA]])</f>
        <v>0</v>
      </c>
      <c r="R967" s="4">
        <f>Employee_Data[[#This Row],[Basic Salary]]*12.5%</f>
        <v>0</v>
      </c>
      <c r="S967" s="2">
        <f>Employee_Data[[#This Row],[Annual Salary]]/12</f>
        <v>0</v>
      </c>
    </row>
    <row r="968" spans="1:19" x14ac:dyDescent="0.3">
      <c r="A968" t="s">
        <v>1967</v>
      </c>
      <c r="B968" t="s">
        <v>1968</v>
      </c>
      <c r="D968" t="s">
        <v>80</v>
      </c>
      <c r="E968" t="s">
        <v>56</v>
      </c>
      <c r="G968" t="s">
        <v>43</v>
      </c>
      <c r="H968">
        <v>55</v>
      </c>
      <c r="I968" s="1">
        <v>44750</v>
      </c>
      <c r="K968" s="3">
        <v>0.05</v>
      </c>
      <c r="L968" t="s">
        <v>137</v>
      </c>
      <c r="M968" t="s">
        <v>138</v>
      </c>
      <c r="N968" s="2">
        <f>Employee_Data[[#This Row],[Basic Salary]]*10%</f>
        <v>0</v>
      </c>
      <c r="O968" s="4">
        <f>Employee_Data[[#This Row],[Basic Salary]]*7.5%</f>
        <v>0</v>
      </c>
      <c r="P968" s="2">
        <f>Employee_Data[[#This Row],[Basic Salary]]*3%</f>
        <v>0</v>
      </c>
      <c r="Q968" s="2">
        <f>SUM(Employee_Data[[#This Row],[Basic Salary]],Employee_Data[[#This Row],[HRA]],Employee_Data[[#This Row],[MA]],Employee_Data[[#This Row],[TA]])</f>
        <v>0</v>
      </c>
      <c r="R968" s="4">
        <f>Employee_Data[[#This Row],[Basic Salary]]*12.5%</f>
        <v>0</v>
      </c>
      <c r="S968" s="2">
        <f>Employee_Data[[#This Row],[Annual Salary]]/12</f>
        <v>0</v>
      </c>
    </row>
    <row r="969" spans="1:19" x14ac:dyDescent="0.3">
      <c r="A969" t="s">
        <v>1969</v>
      </c>
      <c r="B969" t="s">
        <v>1970</v>
      </c>
      <c r="D969" t="s">
        <v>4</v>
      </c>
      <c r="E969" t="s">
        <v>36</v>
      </c>
      <c r="G969" t="s">
        <v>24</v>
      </c>
      <c r="H969">
        <v>30</v>
      </c>
      <c r="I969" s="1">
        <v>44472</v>
      </c>
      <c r="L969" t="s">
        <v>37</v>
      </c>
      <c r="M969" t="s">
        <v>57</v>
      </c>
      <c r="N969" s="2">
        <f>Employee_Data[[#This Row],[Basic Salary]]*10%</f>
        <v>0</v>
      </c>
      <c r="O969" s="4">
        <f>Employee_Data[[#This Row],[Basic Salary]]*7.5%</f>
        <v>0</v>
      </c>
      <c r="P969" s="2">
        <f>Employee_Data[[#This Row],[Basic Salary]]*3%</f>
        <v>0</v>
      </c>
      <c r="Q969" s="2">
        <f>SUM(Employee_Data[[#This Row],[Basic Salary]],Employee_Data[[#This Row],[HRA]],Employee_Data[[#This Row],[MA]],Employee_Data[[#This Row],[TA]])</f>
        <v>0</v>
      </c>
      <c r="R969" s="4">
        <f>Employee_Data[[#This Row],[Basic Salary]]*12.5%</f>
        <v>0</v>
      </c>
      <c r="S969" s="2">
        <f>Employee_Data[[#This Row],[Annual Salary]]/12</f>
        <v>0</v>
      </c>
    </row>
    <row r="970" spans="1:19" x14ac:dyDescent="0.3">
      <c r="A970" t="s">
        <v>1971</v>
      </c>
      <c r="B970" t="s">
        <v>1972</v>
      </c>
      <c r="D970" t="s">
        <v>30</v>
      </c>
      <c r="G970" t="s">
        <v>43</v>
      </c>
      <c r="H970">
        <v>44</v>
      </c>
      <c r="I970" s="1">
        <v>44129</v>
      </c>
      <c r="M970" t="s">
        <v>183</v>
      </c>
      <c r="N970" s="2">
        <f>Employee_Data[[#This Row],[Basic Salary]]*10%</f>
        <v>0</v>
      </c>
      <c r="O970" s="4">
        <f>Employee_Data[[#This Row],[Basic Salary]]*7.5%</f>
        <v>0</v>
      </c>
      <c r="P970" s="2">
        <f>Employee_Data[[#This Row],[Basic Salary]]*3%</f>
        <v>0</v>
      </c>
      <c r="Q970" s="2">
        <f>SUM(Employee_Data[[#This Row],[Basic Salary]],Employee_Data[[#This Row],[HRA]],Employee_Data[[#This Row],[MA]],Employee_Data[[#This Row],[TA]])</f>
        <v>0</v>
      </c>
      <c r="R970" s="4">
        <f>Employee_Data[[#This Row],[Basic Salary]]*12.5%</f>
        <v>0</v>
      </c>
      <c r="S970" s="2">
        <f>Employee_Data[[#This Row],[Annual Salary]]/12</f>
        <v>0</v>
      </c>
    </row>
    <row r="971" spans="1:19" x14ac:dyDescent="0.3">
      <c r="A971" t="s">
        <v>1973</v>
      </c>
      <c r="B971" t="s">
        <v>1974</v>
      </c>
      <c r="C971" t="s">
        <v>29</v>
      </c>
      <c r="F971" t="s">
        <v>42</v>
      </c>
      <c r="G971" t="s">
        <v>66</v>
      </c>
      <c r="H971">
        <v>57</v>
      </c>
      <c r="I971" s="1">
        <v>39673</v>
      </c>
      <c r="M971" t="s">
        <v>26</v>
      </c>
      <c r="N971" s="2">
        <f>Employee_Data[[#This Row],[Basic Salary]]*10%</f>
        <v>0</v>
      </c>
      <c r="O971" s="4">
        <f>Employee_Data[[#This Row],[Basic Salary]]*7.5%</f>
        <v>0</v>
      </c>
      <c r="P971" s="2">
        <f>Employee_Data[[#This Row],[Basic Salary]]*3%</f>
        <v>0</v>
      </c>
      <c r="Q971" s="2">
        <f>SUM(Employee_Data[[#This Row],[Basic Salary]],Employee_Data[[#This Row],[HRA]],Employee_Data[[#This Row],[MA]],Employee_Data[[#This Row],[TA]])</f>
        <v>0</v>
      </c>
      <c r="R971" s="4">
        <f>Employee_Data[[#This Row],[Basic Salary]]*12.5%</f>
        <v>0</v>
      </c>
      <c r="S971" s="2">
        <f>Employee_Data[[#This Row],[Annual Salary]]/12</f>
        <v>0</v>
      </c>
    </row>
    <row r="972" spans="1:19" x14ac:dyDescent="0.3">
      <c r="A972" t="s">
        <v>1975</v>
      </c>
      <c r="B972" t="s">
        <v>1976</v>
      </c>
      <c r="D972" t="s">
        <v>21</v>
      </c>
      <c r="F972" t="s">
        <v>23</v>
      </c>
      <c r="G972" t="s">
        <v>43</v>
      </c>
      <c r="H972">
        <v>58</v>
      </c>
      <c r="I972" s="1">
        <v>38793</v>
      </c>
      <c r="L972" t="s">
        <v>25</v>
      </c>
      <c r="M972" t="s">
        <v>44</v>
      </c>
      <c r="N972" s="2">
        <f>Employee_Data[[#This Row],[Basic Salary]]*10%</f>
        <v>0</v>
      </c>
      <c r="O972" s="4">
        <f>Employee_Data[[#This Row],[Basic Salary]]*7.5%</f>
        <v>0</v>
      </c>
      <c r="P972" s="2">
        <f>Employee_Data[[#This Row],[Basic Salary]]*3%</f>
        <v>0</v>
      </c>
      <c r="Q972" s="2">
        <f>SUM(Employee_Data[[#This Row],[Basic Salary]],Employee_Data[[#This Row],[HRA]],Employee_Data[[#This Row],[MA]],Employee_Data[[#This Row],[TA]])</f>
        <v>0</v>
      </c>
      <c r="R972" s="4">
        <f>Employee_Data[[#This Row],[Basic Salary]]*12.5%</f>
        <v>0</v>
      </c>
      <c r="S972" s="2">
        <f>Employee_Data[[#This Row],[Annual Salary]]/12</f>
        <v>0</v>
      </c>
    </row>
    <row r="973" spans="1:19" x14ac:dyDescent="0.3">
      <c r="A973" t="s">
        <v>1977</v>
      </c>
      <c r="B973" t="s">
        <v>1978</v>
      </c>
      <c r="D973" t="s">
        <v>21</v>
      </c>
      <c r="E973" t="s">
        <v>22</v>
      </c>
      <c r="G973" t="s">
        <v>24</v>
      </c>
      <c r="H973">
        <v>59</v>
      </c>
      <c r="I973" s="1">
        <v>39680</v>
      </c>
      <c r="L973" t="s">
        <v>25</v>
      </c>
      <c r="M973" t="s">
        <v>32</v>
      </c>
      <c r="N973" s="2">
        <f>Employee_Data[[#This Row],[Basic Salary]]*10%</f>
        <v>0</v>
      </c>
      <c r="O973" s="4">
        <f>Employee_Data[[#This Row],[Basic Salary]]*7.5%</f>
        <v>0</v>
      </c>
      <c r="P973" s="2">
        <f>Employee_Data[[#This Row],[Basic Salary]]*3%</f>
        <v>0</v>
      </c>
      <c r="Q973" s="2">
        <f>SUM(Employee_Data[[#This Row],[Basic Salary]],Employee_Data[[#This Row],[HRA]],Employee_Data[[#This Row],[MA]],Employee_Data[[#This Row],[TA]])</f>
        <v>0</v>
      </c>
      <c r="R973" s="4">
        <f>Employee_Data[[#This Row],[Basic Salary]]*12.5%</f>
        <v>0</v>
      </c>
      <c r="S973" s="2">
        <f>Employee_Data[[#This Row],[Annual Salary]]/12</f>
        <v>0</v>
      </c>
    </row>
    <row r="974" spans="1:19" x14ac:dyDescent="0.3">
      <c r="A974" t="s">
        <v>1979</v>
      </c>
      <c r="B974" t="s">
        <v>1980</v>
      </c>
      <c r="D974" t="s">
        <v>4</v>
      </c>
      <c r="E974" t="s">
        <v>22</v>
      </c>
      <c r="H974">
        <v>60</v>
      </c>
      <c r="I974" s="1">
        <v>36547</v>
      </c>
      <c r="L974" t="s">
        <v>25</v>
      </c>
      <c r="M974" t="s">
        <v>26</v>
      </c>
      <c r="N974" s="2">
        <f>Employee_Data[[#This Row],[Basic Salary]]*10%</f>
        <v>0</v>
      </c>
      <c r="O974" s="4">
        <f>Employee_Data[[#This Row],[Basic Salary]]*7.5%</f>
        <v>0</v>
      </c>
      <c r="P974" s="2">
        <f>Employee_Data[[#This Row],[Basic Salary]]*3%</f>
        <v>0</v>
      </c>
      <c r="Q974" s="2">
        <f>SUM(Employee_Data[[#This Row],[Basic Salary]],Employee_Data[[#This Row],[HRA]],Employee_Data[[#This Row],[MA]],Employee_Data[[#This Row],[TA]])</f>
        <v>0</v>
      </c>
      <c r="R974" s="4">
        <f>Employee_Data[[#This Row],[Basic Salary]]*12.5%</f>
        <v>0</v>
      </c>
      <c r="S974" s="2">
        <f>Employee_Data[[#This Row],[Annual Salary]]/12</f>
        <v>0</v>
      </c>
    </row>
    <row r="975" spans="1:19" x14ac:dyDescent="0.3">
      <c r="A975" t="s">
        <v>1981</v>
      </c>
      <c r="B975" t="s">
        <v>1982</v>
      </c>
      <c r="E975" t="s">
        <v>36</v>
      </c>
      <c r="F975" t="s">
        <v>42</v>
      </c>
      <c r="H975">
        <v>32</v>
      </c>
      <c r="I975" s="1">
        <v>43623</v>
      </c>
      <c r="J975" s="2">
        <v>65666</v>
      </c>
      <c r="K975" s="3">
        <v>0</v>
      </c>
      <c r="L975" t="s">
        <v>25</v>
      </c>
      <c r="M975" t="s">
        <v>26</v>
      </c>
      <c r="N975" s="2">
        <f>Employee_Data[[#This Row],[Basic Salary]]*10%</f>
        <v>547.2166666666667</v>
      </c>
      <c r="O975" s="4">
        <f>Employee_Data[[#This Row],[Basic Salary]]*7.5%</f>
        <v>410.41250000000002</v>
      </c>
      <c r="P975" s="2">
        <f>Employee_Data[[#This Row],[Basic Salary]]*3%</f>
        <v>164.16499999999999</v>
      </c>
      <c r="Q975" s="2">
        <f>SUM(Employee_Data[[#This Row],[Basic Salary]],Employee_Data[[#This Row],[HRA]],Employee_Data[[#This Row],[MA]],Employee_Data[[#This Row],[TA]])</f>
        <v>6593.9608333333335</v>
      </c>
      <c r="R975" s="4">
        <f>Employee_Data[[#This Row],[Basic Salary]]*12.5%</f>
        <v>684.02083333333337</v>
      </c>
      <c r="S975" s="2">
        <f>Employee_Data[[#This Row],[Annual Salary]]/12</f>
        <v>5472.166666666667</v>
      </c>
    </row>
    <row r="976" spans="1:19" x14ac:dyDescent="0.3">
      <c r="B976" t="s">
        <v>1983</v>
      </c>
      <c r="E976" t="s">
        <v>22</v>
      </c>
      <c r="G976" t="s">
        <v>66</v>
      </c>
      <c r="H976">
        <v>41</v>
      </c>
      <c r="I976" s="1">
        <v>40799</v>
      </c>
      <c r="K976" s="3">
        <v>0</v>
      </c>
      <c r="L976" t="s">
        <v>25</v>
      </c>
      <c r="M976" t="s">
        <v>26</v>
      </c>
      <c r="N976" s="2">
        <f>Employee_Data[[#This Row],[Basic Salary]]*10%</f>
        <v>0</v>
      </c>
      <c r="O976" s="4">
        <f>Employee_Data[[#This Row],[Basic Salary]]*7.5%</f>
        <v>0</v>
      </c>
      <c r="P976" s="2">
        <f>Employee_Data[[#This Row],[Basic Salary]]*3%</f>
        <v>0</v>
      </c>
      <c r="Q976" s="2">
        <f>SUM(Employee_Data[[#This Row],[Basic Salary]],Employee_Data[[#This Row],[HRA]],Employee_Data[[#This Row],[MA]],Employee_Data[[#This Row],[TA]])</f>
        <v>0</v>
      </c>
      <c r="R976" s="4">
        <f>Employee_Data[[#This Row],[Basic Salary]]*12.5%</f>
        <v>0</v>
      </c>
      <c r="S976" s="2">
        <f>Employee_Data[[#This Row],[Annual Salary]]/12</f>
        <v>0</v>
      </c>
    </row>
    <row r="977" spans="1:19" x14ac:dyDescent="0.3">
      <c r="B977" t="s">
        <v>1984</v>
      </c>
      <c r="D977" t="s">
        <v>4</v>
      </c>
      <c r="E977" t="s">
        <v>56</v>
      </c>
      <c r="G977" t="s">
        <v>24</v>
      </c>
      <c r="H977">
        <v>39</v>
      </c>
      <c r="K977" s="3">
        <v>0</v>
      </c>
      <c r="L977" t="s">
        <v>25</v>
      </c>
      <c r="M977" t="s">
        <v>26</v>
      </c>
      <c r="N977" s="2">
        <f>Employee_Data[[#This Row],[Basic Salary]]*10%</f>
        <v>0</v>
      </c>
      <c r="O977" s="4">
        <f>Employee_Data[[#This Row],[Basic Salary]]*7.5%</f>
        <v>0</v>
      </c>
      <c r="P977" s="2">
        <f>Employee_Data[[#This Row],[Basic Salary]]*3%</f>
        <v>0</v>
      </c>
      <c r="Q977" s="2">
        <f>SUM(Employee_Data[[#This Row],[Basic Salary]],Employee_Data[[#This Row],[HRA]],Employee_Data[[#This Row],[MA]],Employee_Data[[#This Row],[TA]])</f>
        <v>0</v>
      </c>
      <c r="R977" s="4">
        <f>Employee_Data[[#This Row],[Basic Salary]]*12.5%</f>
        <v>0</v>
      </c>
      <c r="S977" s="2">
        <f>Employee_Data[[#This Row],[Annual Salary]]/12</f>
        <v>0</v>
      </c>
    </row>
    <row r="978" spans="1:19" x14ac:dyDescent="0.3">
      <c r="B978" t="s">
        <v>1985</v>
      </c>
      <c r="D978" t="s">
        <v>80</v>
      </c>
      <c r="F978" t="s">
        <v>42</v>
      </c>
      <c r="G978" t="s">
        <v>43</v>
      </c>
      <c r="H978">
        <v>39</v>
      </c>
      <c r="I978" s="1">
        <v>44056</v>
      </c>
      <c r="L978" t="s">
        <v>25</v>
      </c>
      <c r="M978" t="s">
        <v>70</v>
      </c>
      <c r="N978" s="2">
        <f>Employee_Data[[#This Row],[Basic Salary]]*10%</f>
        <v>0</v>
      </c>
      <c r="O978" s="4">
        <f>Employee_Data[[#This Row],[Basic Salary]]*7.5%</f>
        <v>0</v>
      </c>
      <c r="P978" s="2">
        <f>Employee_Data[[#This Row],[Basic Salary]]*3%</f>
        <v>0</v>
      </c>
      <c r="Q978" s="2">
        <f>SUM(Employee_Data[[#This Row],[Basic Salary]],Employee_Data[[#This Row],[HRA]],Employee_Data[[#This Row],[MA]],Employee_Data[[#This Row],[TA]])</f>
        <v>0</v>
      </c>
      <c r="R978" s="4">
        <f>Employee_Data[[#This Row],[Basic Salary]]*12.5%</f>
        <v>0</v>
      </c>
      <c r="S978" s="2">
        <f>Employee_Data[[#This Row],[Annual Salary]]/12</f>
        <v>0</v>
      </c>
    </row>
    <row r="979" spans="1:19" x14ac:dyDescent="0.3">
      <c r="A979" t="s">
        <v>1986</v>
      </c>
      <c r="E979" t="s">
        <v>36</v>
      </c>
      <c r="F979" t="s">
        <v>23</v>
      </c>
      <c r="G979" t="s">
        <v>24</v>
      </c>
      <c r="H979">
        <v>31</v>
      </c>
      <c r="I979" s="1">
        <v>42620</v>
      </c>
      <c r="J979" s="2">
        <v>118644</v>
      </c>
      <c r="K979" s="3">
        <v>0.13</v>
      </c>
      <c r="M979" t="s">
        <v>51</v>
      </c>
      <c r="N979" s="2">
        <f>Employee_Data[[#This Row],[Basic Salary]]*10%</f>
        <v>988.7</v>
      </c>
      <c r="O979" s="4">
        <f>Employee_Data[[#This Row],[Basic Salary]]*7.5%</f>
        <v>741.52499999999998</v>
      </c>
      <c r="P979" s="2">
        <f>Employee_Data[[#This Row],[Basic Salary]]*3%</f>
        <v>296.61</v>
      </c>
      <c r="Q979" s="2">
        <f>SUM(Employee_Data[[#This Row],[Basic Salary]],Employee_Data[[#This Row],[HRA]],Employee_Data[[#This Row],[MA]],Employee_Data[[#This Row],[TA]])</f>
        <v>11913.835000000001</v>
      </c>
      <c r="R979" s="4">
        <f>Employee_Data[[#This Row],[Basic Salary]]*12.5%</f>
        <v>1235.875</v>
      </c>
      <c r="S979" s="2">
        <f>Employee_Data[[#This Row],[Annual Salary]]/12</f>
        <v>9887</v>
      </c>
    </row>
    <row r="980" spans="1:19" x14ac:dyDescent="0.3">
      <c r="A980" t="s">
        <v>1987</v>
      </c>
      <c r="C980" t="s">
        <v>54</v>
      </c>
      <c r="E980" t="s">
        <v>36</v>
      </c>
      <c r="F980" t="s">
        <v>42</v>
      </c>
      <c r="G980" t="s">
        <v>24</v>
      </c>
      <c r="H980">
        <v>32</v>
      </c>
      <c r="I980" s="1">
        <v>42294</v>
      </c>
      <c r="J980" s="2">
        <v>79773</v>
      </c>
      <c r="K980" s="3">
        <v>0</v>
      </c>
      <c r="L980" t="s">
        <v>37</v>
      </c>
      <c r="M980" t="s">
        <v>111</v>
      </c>
      <c r="N980" s="2">
        <f>Employee_Data[[#This Row],[Basic Salary]]*10%</f>
        <v>664.77500000000009</v>
      </c>
      <c r="O980" s="4">
        <f>Employee_Data[[#This Row],[Basic Salary]]*7.5%</f>
        <v>498.58124999999995</v>
      </c>
      <c r="P980" s="2">
        <f>Employee_Data[[#This Row],[Basic Salary]]*3%</f>
        <v>199.4325</v>
      </c>
      <c r="Q980" s="2">
        <f>SUM(Employee_Data[[#This Row],[Basic Salary]],Employee_Data[[#This Row],[HRA]],Employee_Data[[#This Row],[MA]],Employee_Data[[#This Row],[TA]])</f>
        <v>8010.5387499999997</v>
      </c>
      <c r="R980" s="4">
        <f>Employee_Data[[#This Row],[Basic Salary]]*12.5%</f>
        <v>830.96875</v>
      </c>
      <c r="S980" s="2">
        <f>Employee_Data[[#This Row],[Annual Salary]]/12</f>
        <v>6647.75</v>
      </c>
    </row>
    <row r="981" spans="1:19" x14ac:dyDescent="0.3">
      <c r="B981" t="s">
        <v>1988</v>
      </c>
      <c r="D981" t="s">
        <v>55</v>
      </c>
      <c r="E981" t="s">
        <v>36</v>
      </c>
      <c r="F981" t="s">
        <v>23</v>
      </c>
      <c r="G981" t="s">
        <v>24</v>
      </c>
      <c r="H981">
        <v>46</v>
      </c>
      <c r="I981" s="1">
        <v>43454</v>
      </c>
      <c r="K981" s="3">
        <v>0.13</v>
      </c>
      <c r="M981" t="s">
        <v>38</v>
      </c>
      <c r="N981" s="2">
        <f>Employee_Data[[#This Row],[Basic Salary]]*10%</f>
        <v>0</v>
      </c>
      <c r="O981" s="4">
        <f>Employee_Data[[#This Row],[Basic Salary]]*7.5%</f>
        <v>0</v>
      </c>
      <c r="P981" s="2">
        <f>Employee_Data[[#This Row],[Basic Salary]]*3%</f>
        <v>0</v>
      </c>
      <c r="Q981" s="2">
        <f>SUM(Employee_Data[[#This Row],[Basic Salary]],Employee_Data[[#This Row],[HRA]],Employee_Data[[#This Row],[MA]],Employee_Data[[#This Row],[TA]])</f>
        <v>0</v>
      </c>
      <c r="R981" s="4">
        <f>Employee_Data[[#This Row],[Basic Salary]]*12.5%</f>
        <v>0</v>
      </c>
      <c r="S981" s="2">
        <f>Employee_Data[[#This Row],[Annual Salary]]/12</f>
        <v>0</v>
      </c>
    </row>
    <row r="982" spans="1:19" x14ac:dyDescent="0.3">
      <c r="C982" t="s">
        <v>69</v>
      </c>
      <c r="D982" t="s">
        <v>4</v>
      </c>
      <c r="E982" t="s">
        <v>56</v>
      </c>
      <c r="F982" t="s">
        <v>42</v>
      </c>
      <c r="G982" t="s">
        <v>43</v>
      </c>
      <c r="H982">
        <v>64</v>
      </c>
      <c r="L982" t="s">
        <v>25</v>
      </c>
      <c r="M982" t="s">
        <v>70</v>
      </c>
      <c r="N982" s="2">
        <f>Employee_Data[[#This Row],[Basic Salary]]*10%</f>
        <v>0</v>
      </c>
      <c r="O982" s="4">
        <f>Employee_Data[[#This Row],[Basic Salary]]*7.5%</f>
        <v>0</v>
      </c>
      <c r="P982" s="2">
        <f>Employee_Data[[#This Row],[Basic Salary]]*3%</f>
        <v>0</v>
      </c>
      <c r="Q982" s="2">
        <f>SUM(Employee_Data[[#This Row],[Basic Salary]],Employee_Data[[#This Row],[HRA]],Employee_Data[[#This Row],[MA]],Employee_Data[[#This Row],[TA]])</f>
        <v>0</v>
      </c>
      <c r="R982" s="4">
        <f>Employee_Data[[#This Row],[Basic Salary]]*12.5%</f>
        <v>0</v>
      </c>
      <c r="S982" s="2">
        <f>Employee_Data[[#This Row],[Annual Salary]]/12</f>
        <v>0</v>
      </c>
    </row>
    <row r="983" spans="1:19" x14ac:dyDescent="0.3">
      <c r="C983" t="s">
        <v>47</v>
      </c>
      <c r="D983" t="s">
        <v>126</v>
      </c>
      <c r="E983" t="s">
        <v>56</v>
      </c>
      <c r="F983" t="s">
        <v>42</v>
      </c>
      <c r="G983" t="s">
        <v>66</v>
      </c>
      <c r="H983">
        <v>53</v>
      </c>
      <c r="L983" t="s">
        <v>25</v>
      </c>
      <c r="M983" t="s">
        <v>70</v>
      </c>
      <c r="N983" s="2">
        <f>Employee_Data[[#This Row],[Basic Salary]]*10%</f>
        <v>0</v>
      </c>
      <c r="O983" s="4">
        <f>Employee_Data[[#This Row],[Basic Salary]]*7.5%</f>
        <v>0</v>
      </c>
      <c r="P983" s="2">
        <f>Employee_Data[[#This Row],[Basic Salary]]*3%</f>
        <v>0</v>
      </c>
      <c r="Q983" s="2">
        <f>SUM(Employee_Data[[#This Row],[Basic Salary]],Employee_Data[[#This Row],[HRA]],Employee_Data[[#This Row],[MA]],Employee_Data[[#This Row],[TA]])</f>
        <v>0</v>
      </c>
      <c r="R983" s="4">
        <f>Employee_Data[[#This Row],[Basic Salary]]*12.5%</f>
        <v>0</v>
      </c>
      <c r="S983" s="2">
        <f>Employee_Data[[#This Row],[Annual Salary]]/12</f>
        <v>0</v>
      </c>
    </row>
    <row r="984" spans="1:19" x14ac:dyDescent="0.3">
      <c r="A984" t="s">
        <v>1989</v>
      </c>
      <c r="D984" t="s">
        <v>30</v>
      </c>
      <c r="E984" t="s">
        <v>22</v>
      </c>
      <c r="F984" t="s">
        <v>23</v>
      </c>
      <c r="G984" t="s">
        <v>43</v>
      </c>
      <c r="H984">
        <v>34</v>
      </c>
      <c r="L984" t="s">
        <v>25</v>
      </c>
      <c r="M984" t="s">
        <v>70</v>
      </c>
      <c r="N984" s="2">
        <f>Employee_Data[[#This Row],[Basic Salary]]*10%</f>
        <v>0</v>
      </c>
      <c r="O984" s="4">
        <f>Employee_Data[[#This Row],[Basic Salary]]*7.5%</f>
        <v>0</v>
      </c>
      <c r="P984" s="2">
        <f>Employee_Data[[#This Row],[Basic Salary]]*3%</f>
        <v>0</v>
      </c>
      <c r="Q984" s="2">
        <f>SUM(Employee_Data[[#This Row],[Basic Salary]],Employee_Data[[#This Row],[HRA]],Employee_Data[[#This Row],[MA]],Employee_Data[[#This Row],[TA]])</f>
        <v>0</v>
      </c>
      <c r="R984" s="4">
        <f>Employee_Data[[#This Row],[Basic Salary]]*12.5%</f>
        <v>0</v>
      </c>
      <c r="S984" s="2">
        <f>Employee_Data[[#This Row],[Annual Salary]]/12</f>
        <v>0</v>
      </c>
    </row>
    <row r="985" spans="1:19" x14ac:dyDescent="0.3">
      <c r="B985" t="s">
        <v>1990</v>
      </c>
      <c r="C985" t="s">
        <v>69</v>
      </c>
      <c r="E985" t="s">
        <v>56</v>
      </c>
      <c r="F985" t="s">
        <v>23</v>
      </c>
      <c r="G985" t="s">
        <v>24</v>
      </c>
      <c r="H985">
        <v>39</v>
      </c>
      <c r="L985" t="s">
        <v>25</v>
      </c>
      <c r="M985" t="s">
        <v>48</v>
      </c>
      <c r="N985" s="2">
        <f>Employee_Data[[#This Row],[Basic Salary]]*10%</f>
        <v>0</v>
      </c>
      <c r="O985" s="4">
        <f>Employee_Data[[#This Row],[Basic Salary]]*7.5%</f>
        <v>0</v>
      </c>
      <c r="P985" s="2">
        <f>Employee_Data[[#This Row],[Basic Salary]]*3%</f>
        <v>0</v>
      </c>
      <c r="Q985" s="2">
        <f>SUM(Employee_Data[[#This Row],[Basic Salary]],Employee_Data[[#This Row],[HRA]],Employee_Data[[#This Row],[MA]],Employee_Data[[#This Row],[TA]])</f>
        <v>0</v>
      </c>
      <c r="R985" s="4">
        <f>Employee_Data[[#This Row],[Basic Salary]]*12.5%</f>
        <v>0</v>
      </c>
      <c r="S985" s="2">
        <f>Employee_Data[[#This Row],[Annual Salary]]/12</f>
        <v>0</v>
      </c>
    </row>
    <row r="986" spans="1:19" x14ac:dyDescent="0.3">
      <c r="B986" t="s">
        <v>1991</v>
      </c>
      <c r="C986" t="s">
        <v>405</v>
      </c>
      <c r="D986" t="s">
        <v>30</v>
      </c>
      <c r="G986" t="s">
        <v>66</v>
      </c>
      <c r="H986">
        <v>25</v>
      </c>
      <c r="J986" s="2">
        <v>72693</v>
      </c>
      <c r="M986" t="s">
        <v>44</v>
      </c>
      <c r="N986" s="2">
        <f>Employee_Data[[#This Row],[Basic Salary]]*10%</f>
        <v>605.77499999999998</v>
      </c>
      <c r="O986" s="4">
        <f>Employee_Data[[#This Row],[Basic Salary]]*7.5%</f>
        <v>454.33125000000001</v>
      </c>
      <c r="P986" s="2">
        <f>Employee_Data[[#This Row],[Basic Salary]]*3%</f>
        <v>181.73249999999999</v>
      </c>
      <c r="Q986" s="2">
        <f>SUM(Employee_Data[[#This Row],[Basic Salary]],Employee_Data[[#This Row],[HRA]],Employee_Data[[#This Row],[MA]],Employee_Data[[#This Row],[TA]])</f>
        <v>7299.5887499999999</v>
      </c>
      <c r="R986" s="4">
        <f>Employee_Data[[#This Row],[Basic Salary]]*12.5%</f>
        <v>757.21875</v>
      </c>
      <c r="S986" s="2">
        <f>Employee_Data[[#This Row],[Annual Salary]]/12</f>
        <v>6057.75</v>
      </c>
    </row>
    <row r="987" spans="1:19" x14ac:dyDescent="0.3">
      <c r="A987" t="s">
        <v>1992</v>
      </c>
      <c r="B987" t="s">
        <v>1993</v>
      </c>
      <c r="C987" t="s">
        <v>227</v>
      </c>
      <c r="D987" t="s">
        <v>4</v>
      </c>
      <c r="E987" t="s">
        <v>56</v>
      </c>
      <c r="G987" t="s">
        <v>24</v>
      </c>
      <c r="H987">
        <v>45</v>
      </c>
      <c r="J987" s="2">
        <v>92820</v>
      </c>
      <c r="K987" s="3">
        <v>0</v>
      </c>
      <c r="M987" t="s">
        <v>57</v>
      </c>
      <c r="N987" s="2">
        <f>Employee_Data[[#This Row],[Basic Salary]]*10%</f>
        <v>773.5</v>
      </c>
      <c r="O987" s="4">
        <f>Employee_Data[[#This Row],[Basic Salary]]*7.5%</f>
        <v>580.125</v>
      </c>
      <c r="P987" s="2">
        <f>Employee_Data[[#This Row],[Basic Salary]]*3%</f>
        <v>232.04999999999998</v>
      </c>
      <c r="Q987" s="2">
        <f>SUM(Employee_Data[[#This Row],[Basic Salary]],Employee_Data[[#This Row],[HRA]],Employee_Data[[#This Row],[MA]],Employee_Data[[#This Row],[TA]])</f>
        <v>9320.6749999999993</v>
      </c>
      <c r="R987" s="4">
        <f>Employee_Data[[#This Row],[Basic Salary]]*12.5%</f>
        <v>966.875</v>
      </c>
      <c r="S987" s="2">
        <f>Employee_Data[[#This Row],[Annual Salary]]/12</f>
        <v>7735</v>
      </c>
    </row>
    <row r="988" spans="1:19" x14ac:dyDescent="0.3">
      <c r="A988" t="s">
        <v>1994</v>
      </c>
      <c r="B988" t="s">
        <v>1995</v>
      </c>
      <c r="C988" t="s">
        <v>83</v>
      </c>
      <c r="D988" t="s">
        <v>61</v>
      </c>
      <c r="F988" t="s">
        <v>42</v>
      </c>
      <c r="G988" t="s">
        <v>43</v>
      </c>
      <c r="H988">
        <v>61</v>
      </c>
      <c r="J988" s="2">
        <v>135561</v>
      </c>
      <c r="K988" s="3">
        <v>0.13</v>
      </c>
      <c r="M988" t="s">
        <v>289</v>
      </c>
      <c r="N988" s="2">
        <f>Employee_Data[[#This Row],[Basic Salary]]*10%</f>
        <v>1129.675</v>
      </c>
      <c r="O988" s="4">
        <f>Employee_Data[[#This Row],[Basic Salary]]*7.5%</f>
        <v>847.25625000000002</v>
      </c>
      <c r="P988" s="2">
        <f>Employee_Data[[#This Row],[Basic Salary]]*3%</f>
        <v>338.90249999999997</v>
      </c>
      <c r="Q988" s="2">
        <f>SUM(Employee_Data[[#This Row],[Basic Salary]],Employee_Data[[#This Row],[HRA]],Employee_Data[[#This Row],[MA]],Employee_Data[[#This Row],[TA]])</f>
        <v>13612.58375</v>
      </c>
      <c r="R988" s="4">
        <f>Employee_Data[[#This Row],[Basic Salary]]*12.5%</f>
        <v>1412.09375</v>
      </c>
      <c r="S988" s="2">
        <f>Employee_Data[[#This Row],[Annual Salary]]/12</f>
        <v>11296.75</v>
      </c>
    </row>
    <row r="989" spans="1:19" x14ac:dyDescent="0.3">
      <c r="A989" t="s">
        <v>1996</v>
      </c>
      <c r="B989" t="s">
        <v>1997</v>
      </c>
      <c r="C989" t="s">
        <v>83</v>
      </c>
      <c r="F989" t="s">
        <v>23</v>
      </c>
      <c r="G989" t="s">
        <v>24</v>
      </c>
      <c r="H989">
        <v>44</v>
      </c>
      <c r="J989" s="2">
        <v>121788</v>
      </c>
      <c r="K989" s="3">
        <v>0.13</v>
      </c>
      <c r="M989" t="s">
        <v>51</v>
      </c>
      <c r="N989" s="2">
        <f>Employee_Data[[#This Row],[Basic Salary]]*10%</f>
        <v>1014.9000000000001</v>
      </c>
      <c r="O989" s="4">
        <f>Employee_Data[[#This Row],[Basic Salary]]*7.5%</f>
        <v>761.17499999999995</v>
      </c>
      <c r="P989" s="2">
        <f>Employee_Data[[#This Row],[Basic Salary]]*3%</f>
        <v>304.46999999999997</v>
      </c>
      <c r="Q989" s="2">
        <f>SUM(Employee_Data[[#This Row],[Basic Salary]],Employee_Data[[#This Row],[HRA]],Employee_Data[[#This Row],[MA]],Employee_Data[[#This Row],[TA]])</f>
        <v>12229.544999999998</v>
      </c>
      <c r="R989" s="4">
        <f>Employee_Data[[#This Row],[Basic Salary]]*12.5%</f>
        <v>1268.625</v>
      </c>
      <c r="S989" s="2">
        <f>Employee_Data[[#This Row],[Annual Salary]]/12</f>
        <v>10149</v>
      </c>
    </row>
    <row r="990" spans="1:19" x14ac:dyDescent="0.3">
      <c r="A990" t="s">
        <v>1998</v>
      </c>
      <c r="B990" t="s">
        <v>1999</v>
      </c>
      <c r="E990" t="s">
        <v>22</v>
      </c>
      <c r="F990" t="s">
        <v>42</v>
      </c>
      <c r="G990" t="s">
        <v>84</v>
      </c>
      <c r="H990">
        <v>59</v>
      </c>
      <c r="J990" s="2">
        <v>92216</v>
      </c>
      <c r="K990" s="3">
        <v>0</v>
      </c>
      <c r="M990" t="s">
        <v>32</v>
      </c>
      <c r="N990" s="2">
        <f>Employee_Data[[#This Row],[Basic Salary]]*10%</f>
        <v>768.4666666666667</v>
      </c>
      <c r="O990" s="4">
        <f>Employee_Data[[#This Row],[Basic Salary]]*7.5%</f>
        <v>576.35</v>
      </c>
      <c r="P990" s="2">
        <f>Employee_Data[[#This Row],[Basic Salary]]*3%</f>
        <v>230.54</v>
      </c>
      <c r="Q990" s="2">
        <f>SUM(Employee_Data[[#This Row],[Basic Salary]],Employee_Data[[#This Row],[HRA]],Employee_Data[[#This Row],[MA]],Employee_Data[[#This Row],[TA]])</f>
        <v>9260.0233333333344</v>
      </c>
      <c r="R990" s="4">
        <f>Employee_Data[[#This Row],[Basic Salary]]*12.5%</f>
        <v>960.58333333333337</v>
      </c>
      <c r="S990" s="2">
        <f>Employee_Data[[#This Row],[Annual Salary]]/12</f>
        <v>7684.666666666667</v>
      </c>
    </row>
    <row r="991" spans="1:19" x14ac:dyDescent="0.3">
      <c r="A991" t="s">
        <v>2000</v>
      </c>
      <c r="B991" t="s">
        <v>2001</v>
      </c>
      <c r="D991" t="s">
        <v>21</v>
      </c>
      <c r="E991" t="s">
        <v>22</v>
      </c>
      <c r="F991" t="s">
        <v>23</v>
      </c>
      <c r="G991" t="s">
        <v>43</v>
      </c>
      <c r="H991">
        <v>34</v>
      </c>
      <c r="J991" s="2">
        <v>104586</v>
      </c>
      <c r="K991" s="3">
        <v>0</v>
      </c>
      <c r="L991" t="s">
        <v>137</v>
      </c>
      <c r="N991" s="2">
        <f>Employee_Data[[#This Row],[Basic Salary]]*10%</f>
        <v>871.55000000000007</v>
      </c>
      <c r="O991" s="4">
        <f>Employee_Data[[#This Row],[Basic Salary]]*7.5%</f>
        <v>653.66250000000002</v>
      </c>
      <c r="P991" s="2">
        <f>Employee_Data[[#This Row],[Basic Salary]]*3%</f>
        <v>261.46499999999997</v>
      </c>
      <c r="Q991" s="2">
        <f>SUM(Employee_Data[[#This Row],[Basic Salary]],Employee_Data[[#This Row],[HRA]],Employee_Data[[#This Row],[MA]],Employee_Data[[#This Row],[TA]])</f>
        <v>10502.1775</v>
      </c>
      <c r="R991" s="4">
        <f>Employee_Data[[#This Row],[Basic Salary]]*12.5%</f>
        <v>1089.4375</v>
      </c>
      <c r="S991" s="2">
        <f>Employee_Data[[#This Row],[Annual Salary]]/12</f>
        <v>8715.5</v>
      </c>
    </row>
    <row r="992" spans="1:19" x14ac:dyDescent="0.3">
      <c r="A992" t="s">
        <v>2002</v>
      </c>
      <c r="C992" t="s">
        <v>104</v>
      </c>
      <c r="D992" t="s">
        <v>30</v>
      </c>
      <c r="E992" t="s">
        <v>31</v>
      </c>
      <c r="F992" t="s">
        <v>42</v>
      </c>
      <c r="G992" t="s">
        <v>84</v>
      </c>
      <c r="H992">
        <v>45</v>
      </c>
      <c r="I992" s="1">
        <v>37613</v>
      </c>
      <c r="J992" s="2">
        <v>70439</v>
      </c>
      <c r="M992" t="s">
        <v>51</v>
      </c>
      <c r="N992" s="2">
        <f>Employee_Data[[#This Row],[Basic Salary]]*10%</f>
        <v>586.99166666666667</v>
      </c>
      <c r="O992" s="4">
        <f>Employee_Data[[#This Row],[Basic Salary]]*7.5%</f>
        <v>440.24375000000003</v>
      </c>
      <c r="P992" s="2">
        <f>Employee_Data[[#This Row],[Basic Salary]]*3%</f>
        <v>176.0975</v>
      </c>
      <c r="Q992" s="2">
        <f>SUM(Employee_Data[[#This Row],[Basic Salary]],Employee_Data[[#This Row],[HRA]],Employee_Data[[#This Row],[MA]],Employee_Data[[#This Row],[TA]])</f>
        <v>7073.2495833333332</v>
      </c>
      <c r="R992" s="4">
        <f>Employee_Data[[#This Row],[Basic Salary]]*12.5%</f>
        <v>733.73958333333337</v>
      </c>
      <c r="S992" s="2">
        <f>Employee_Data[[#This Row],[Annual Salary]]/12</f>
        <v>5869.916666666667</v>
      </c>
    </row>
    <row r="993" spans="1:19" x14ac:dyDescent="0.3">
      <c r="A993" t="s">
        <v>2003</v>
      </c>
      <c r="B993" t="s">
        <v>2004</v>
      </c>
      <c r="C993" t="s">
        <v>29</v>
      </c>
      <c r="D993" t="s">
        <v>30</v>
      </c>
      <c r="E993" t="s">
        <v>36</v>
      </c>
      <c r="F993" t="s">
        <v>23</v>
      </c>
      <c r="G993" t="s">
        <v>24</v>
      </c>
      <c r="H993">
        <v>35</v>
      </c>
      <c r="I993" s="1">
        <v>44341</v>
      </c>
      <c r="J993" s="2">
        <v>52232</v>
      </c>
      <c r="K993" s="3">
        <v>0</v>
      </c>
      <c r="M993" t="s">
        <v>26</v>
      </c>
      <c r="N993" s="2">
        <f>Employee_Data[[#This Row],[Basic Salary]]*10%</f>
        <v>435.26666666666671</v>
      </c>
      <c r="O993" s="4">
        <f>Employee_Data[[#This Row],[Basic Salary]]*7.5%</f>
        <v>326.45</v>
      </c>
      <c r="P993" s="2">
        <f>Employee_Data[[#This Row],[Basic Salary]]*3%</f>
        <v>130.58000000000001</v>
      </c>
      <c r="Q993" s="2">
        <f>SUM(Employee_Data[[#This Row],[Basic Salary]],Employee_Data[[#This Row],[HRA]],Employee_Data[[#This Row],[MA]],Employee_Data[[#This Row],[TA]])</f>
        <v>5244.9633333333331</v>
      </c>
      <c r="R993" s="4">
        <f>Employee_Data[[#This Row],[Basic Salary]]*12.5%</f>
        <v>544.08333333333337</v>
      </c>
      <c r="S993" s="2">
        <f>Employee_Data[[#This Row],[Annual Salary]]/12</f>
        <v>4352.666666666667</v>
      </c>
    </row>
    <row r="994" spans="1:19" x14ac:dyDescent="0.3">
      <c r="A994" t="s">
        <v>2005</v>
      </c>
      <c r="B994" t="s">
        <v>2006</v>
      </c>
      <c r="C994" t="s">
        <v>89</v>
      </c>
      <c r="D994" t="s">
        <v>80</v>
      </c>
      <c r="E994" t="s">
        <v>56</v>
      </c>
      <c r="F994" t="s">
        <v>42</v>
      </c>
      <c r="G994" t="s">
        <v>24</v>
      </c>
      <c r="H994">
        <v>42</v>
      </c>
      <c r="I994" s="1">
        <v>41904</v>
      </c>
      <c r="J994" s="2">
        <v>226646</v>
      </c>
      <c r="K994" s="3">
        <v>0.31</v>
      </c>
      <c r="L994" t="s">
        <v>25</v>
      </c>
      <c r="N994" s="2">
        <f>Employee_Data[[#This Row],[Basic Salary]]*10%</f>
        <v>1888.7166666666669</v>
      </c>
      <c r="O994" s="4">
        <f>Employee_Data[[#This Row],[Basic Salary]]*7.5%</f>
        <v>1416.5375000000001</v>
      </c>
      <c r="P994" s="2">
        <f>Employee_Data[[#This Row],[Basic Salary]]*3%</f>
        <v>566.61500000000001</v>
      </c>
      <c r="Q994" s="2">
        <f>SUM(Employee_Data[[#This Row],[Basic Salary]],Employee_Data[[#This Row],[HRA]],Employee_Data[[#This Row],[MA]],Employee_Data[[#This Row],[TA]])</f>
        <v>22759.035833333335</v>
      </c>
      <c r="R994" s="4">
        <f>Employee_Data[[#This Row],[Basic Salary]]*12.5%</f>
        <v>2360.8958333333335</v>
      </c>
      <c r="S994" s="2">
        <f>Employee_Data[[#This Row],[Annual Salary]]/12</f>
        <v>18887.166666666668</v>
      </c>
    </row>
    <row r="995" spans="1:19" x14ac:dyDescent="0.3">
      <c r="A995" t="s">
        <v>2007</v>
      </c>
      <c r="B995" t="s">
        <v>2008</v>
      </c>
      <c r="C995" t="s">
        <v>83</v>
      </c>
      <c r="D995" t="s">
        <v>61</v>
      </c>
      <c r="E995" t="s">
        <v>56</v>
      </c>
      <c r="F995" t="s">
        <v>23</v>
      </c>
      <c r="G995" t="s">
        <v>24</v>
      </c>
      <c r="H995">
        <v>38</v>
      </c>
      <c r="I995" s="1">
        <v>41210</v>
      </c>
      <c r="J995" s="2">
        <v>152253</v>
      </c>
      <c r="K995" s="3">
        <v>0.12</v>
      </c>
      <c r="L995" t="s">
        <v>25</v>
      </c>
      <c r="N995" s="2">
        <f>Employee_Data[[#This Row],[Basic Salary]]*10%</f>
        <v>1268.7750000000001</v>
      </c>
      <c r="O995" s="4">
        <f>Employee_Data[[#This Row],[Basic Salary]]*7.5%</f>
        <v>951.58124999999995</v>
      </c>
      <c r="P995" s="2">
        <f>Employee_Data[[#This Row],[Basic Salary]]*3%</f>
        <v>380.63249999999999</v>
      </c>
      <c r="Q995" s="2">
        <f>SUM(Employee_Data[[#This Row],[Basic Salary]],Employee_Data[[#This Row],[HRA]],Employee_Data[[#This Row],[MA]],Employee_Data[[#This Row],[TA]])</f>
        <v>15288.738749999999</v>
      </c>
      <c r="R995" s="4">
        <f>Employee_Data[[#This Row],[Basic Salary]]*12.5%</f>
        <v>1585.96875</v>
      </c>
      <c r="S995" s="2">
        <f>Employee_Data[[#This Row],[Annual Salary]]/12</f>
        <v>12687.75</v>
      </c>
    </row>
    <row r="996" spans="1:19" x14ac:dyDescent="0.3">
      <c r="A996" t="s">
        <v>2009</v>
      </c>
      <c r="B996" t="s">
        <v>2010</v>
      </c>
      <c r="C996" t="s">
        <v>89</v>
      </c>
      <c r="D996" t="s">
        <v>21</v>
      </c>
      <c r="E996" t="s">
        <v>56</v>
      </c>
      <c r="F996" t="s">
        <v>23</v>
      </c>
      <c r="G996" t="s">
        <v>24</v>
      </c>
      <c r="H996">
        <v>46</v>
      </c>
      <c r="I996" s="1">
        <v>39322</v>
      </c>
      <c r="J996" s="2">
        <v>195471</v>
      </c>
      <c r="K996" s="3">
        <v>0.36</v>
      </c>
      <c r="L996" t="s">
        <v>25</v>
      </c>
      <c r="N996" s="2">
        <f>Employee_Data[[#This Row],[Basic Salary]]*10%</f>
        <v>1628.9250000000002</v>
      </c>
      <c r="O996" s="4">
        <f>Employee_Data[[#This Row],[Basic Salary]]*7.5%</f>
        <v>1221.6937499999999</v>
      </c>
      <c r="P996" s="2">
        <f>Employee_Data[[#This Row],[Basic Salary]]*3%</f>
        <v>488.67750000000001</v>
      </c>
      <c r="Q996" s="2">
        <f>SUM(Employee_Data[[#This Row],[Basic Salary]],Employee_Data[[#This Row],[HRA]],Employee_Data[[#This Row],[MA]],Employee_Data[[#This Row],[TA]])</f>
        <v>19628.546249999999</v>
      </c>
      <c r="R996" s="4">
        <f>Employee_Data[[#This Row],[Basic Salary]]*12.5%</f>
        <v>2036.15625</v>
      </c>
      <c r="S996" s="2">
        <f>Employee_Data[[#This Row],[Annual Salary]]/12</f>
        <v>16289.25</v>
      </c>
    </row>
    <row r="997" spans="1:19" x14ac:dyDescent="0.3">
      <c r="A997" t="s">
        <v>2011</v>
      </c>
      <c r="B997" t="s">
        <v>2012</v>
      </c>
      <c r="C997" t="s">
        <v>380</v>
      </c>
      <c r="D997" t="s">
        <v>4</v>
      </c>
      <c r="E997" t="s">
        <v>56</v>
      </c>
      <c r="F997" t="s">
        <v>42</v>
      </c>
      <c r="G997" t="s">
        <v>43</v>
      </c>
      <c r="H997">
        <v>48</v>
      </c>
      <c r="I997" s="1">
        <v>41241</v>
      </c>
      <c r="K997" s="3">
        <v>0</v>
      </c>
      <c r="M997" t="s">
        <v>138</v>
      </c>
      <c r="N997" s="2">
        <f>Employee_Data[[#This Row],[Basic Salary]]*10%</f>
        <v>0</v>
      </c>
      <c r="O997" s="4">
        <f>Employee_Data[[#This Row],[Basic Salary]]*7.5%</f>
        <v>0</v>
      </c>
      <c r="P997" s="2">
        <f>Employee_Data[[#This Row],[Basic Salary]]*3%</f>
        <v>0</v>
      </c>
      <c r="Q997" s="2">
        <f>SUM(Employee_Data[[#This Row],[Basic Salary]],Employee_Data[[#This Row],[HRA]],Employee_Data[[#This Row],[MA]],Employee_Data[[#This Row],[TA]])</f>
        <v>0</v>
      </c>
      <c r="R997" s="4">
        <f>Employee_Data[[#This Row],[Basic Salary]]*12.5%</f>
        <v>0</v>
      </c>
      <c r="S997" s="2">
        <f>Employee_Data[[#This Row],[Annual Salary]]/12</f>
        <v>0</v>
      </c>
    </row>
    <row r="998" spans="1:19" x14ac:dyDescent="0.3">
      <c r="A998" t="s">
        <v>2013</v>
      </c>
      <c r="B998" t="s">
        <v>2014</v>
      </c>
      <c r="C998" t="s">
        <v>29</v>
      </c>
      <c r="D998" t="s">
        <v>61</v>
      </c>
      <c r="E998" t="s">
        <v>31</v>
      </c>
      <c r="F998" t="s">
        <v>42</v>
      </c>
      <c r="H998">
        <v>63</v>
      </c>
      <c r="I998" s="1">
        <v>40342</v>
      </c>
      <c r="K998" s="3">
        <v>0</v>
      </c>
      <c r="N998" s="2">
        <f>Employee_Data[[#This Row],[Basic Salary]]*10%</f>
        <v>0</v>
      </c>
      <c r="O998" s="4">
        <f>Employee_Data[[#This Row],[Basic Salary]]*7.5%</f>
        <v>0</v>
      </c>
      <c r="P998" s="2">
        <f>Employee_Data[[#This Row],[Basic Salary]]*3%</f>
        <v>0</v>
      </c>
      <c r="Q998" s="2">
        <f>SUM(Employee_Data[[#This Row],[Basic Salary]],Employee_Data[[#This Row],[HRA]],Employee_Data[[#This Row],[MA]],Employee_Data[[#This Row],[TA]])</f>
        <v>0</v>
      </c>
      <c r="R998" s="4">
        <f>Employee_Data[[#This Row],[Basic Salary]]*12.5%</f>
        <v>0</v>
      </c>
      <c r="S998" s="2">
        <f>Employee_Data[[#This Row],[Annual Salary]]/12</f>
        <v>0</v>
      </c>
    </row>
    <row r="999" spans="1:19" x14ac:dyDescent="0.3">
      <c r="A999" t="s">
        <v>2015</v>
      </c>
      <c r="B999" t="s">
        <v>2016</v>
      </c>
      <c r="D999" t="s">
        <v>30</v>
      </c>
      <c r="E999" t="s">
        <v>36</v>
      </c>
      <c r="F999" t="s">
        <v>42</v>
      </c>
      <c r="G999" t="s">
        <v>24</v>
      </c>
      <c r="H999">
        <v>31</v>
      </c>
      <c r="I999" s="1">
        <v>43339</v>
      </c>
      <c r="K999" s="3">
        <v>0</v>
      </c>
      <c r="L999" t="s">
        <v>25</v>
      </c>
      <c r="N999" s="2">
        <f>Employee_Data[[#This Row],[Basic Salary]]*10%</f>
        <v>0</v>
      </c>
      <c r="O999" s="4">
        <f>Employee_Data[[#This Row],[Basic Salary]]*7.5%</f>
        <v>0</v>
      </c>
      <c r="P999" s="2">
        <f>Employee_Data[[#This Row],[Basic Salary]]*3%</f>
        <v>0</v>
      </c>
      <c r="Q999" s="2">
        <f>SUM(Employee_Data[[#This Row],[Basic Salary]],Employee_Data[[#This Row],[HRA]],Employee_Data[[#This Row],[MA]],Employee_Data[[#This Row],[TA]])</f>
        <v>0</v>
      </c>
      <c r="R999" s="4">
        <f>Employee_Data[[#This Row],[Basic Salary]]*12.5%</f>
        <v>0</v>
      </c>
      <c r="S999" s="2">
        <f>Employee_Data[[#This Row],[Annual Salary]]/12</f>
        <v>0</v>
      </c>
    </row>
    <row r="1000" spans="1:19" x14ac:dyDescent="0.3">
      <c r="A1000" t="s">
        <v>2017</v>
      </c>
      <c r="B1000" t="s">
        <v>2018</v>
      </c>
      <c r="D1000" t="s">
        <v>21</v>
      </c>
      <c r="E1000" t="s">
        <v>22</v>
      </c>
      <c r="F1000" t="s">
        <v>23</v>
      </c>
      <c r="G1000" t="s">
        <v>24</v>
      </c>
      <c r="H1000">
        <v>52</v>
      </c>
      <c r="I1000" s="1">
        <v>44883</v>
      </c>
      <c r="L1000" t="s">
        <v>25</v>
      </c>
      <c r="N1000" s="2">
        <f>Employee_Data[[#This Row],[Basic Salary]]*10%</f>
        <v>0</v>
      </c>
      <c r="O1000" s="4">
        <f>Employee_Data[[#This Row],[Basic Salary]]*7.5%</f>
        <v>0</v>
      </c>
      <c r="P1000" s="2">
        <f>Employee_Data[[#This Row],[Basic Salary]]*3%</f>
        <v>0</v>
      </c>
      <c r="Q1000" s="2">
        <f>SUM(Employee_Data[[#This Row],[Basic Salary]],Employee_Data[[#This Row],[HRA]],Employee_Data[[#This Row],[MA]],Employee_Data[[#This Row],[TA]])</f>
        <v>0</v>
      </c>
      <c r="R1000" s="4">
        <f>Employee_Data[[#This Row],[Basic Salary]]*12.5%</f>
        <v>0</v>
      </c>
      <c r="S1000" s="2">
        <f>Employee_Data[[#This Row],[Annual Salary]]/12</f>
        <v>0</v>
      </c>
    </row>
    <row r="1001" spans="1:19" x14ac:dyDescent="0.3">
      <c r="A1001" t="s">
        <v>2019</v>
      </c>
      <c r="B1001" t="s">
        <v>2020</v>
      </c>
      <c r="D1001" t="s">
        <v>30</v>
      </c>
      <c r="E1001" t="s">
        <v>31</v>
      </c>
      <c r="F1001" t="s">
        <v>42</v>
      </c>
      <c r="G1001" t="s">
        <v>84</v>
      </c>
      <c r="H1001">
        <v>27</v>
      </c>
      <c r="I1001" s="1">
        <v>44235</v>
      </c>
      <c r="J1001" s="2">
        <v>51321</v>
      </c>
      <c r="M1001" t="s">
        <v>44</v>
      </c>
      <c r="N1001" s="2">
        <f>Employee_Data[[#This Row],[Basic Salary]]*10%</f>
        <v>427.67500000000001</v>
      </c>
      <c r="O1001" s="4">
        <f>Employee_Data[[#This Row],[Basic Salary]]*7.5%</f>
        <v>320.75624999999997</v>
      </c>
      <c r="P1001" s="2">
        <f>Employee_Data[[#This Row],[Basic Salary]]*3%</f>
        <v>128.30250000000001</v>
      </c>
      <c r="Q1001" s="2">
        <f>SUM(Employee_Data[[#This Row],[Basic Salary]],Employee_Data[[#This Row],[HRA]],Employee_Data[[#This Row],[MA]],Employee_Data[[#This Row],[TA]])</f>
        <v>5153.4837500000003</v>
      </c>
      <c r="R1001" s="4">
        <f>Employee_Data[[#This Row],[Basic Salary]]*12.5%</f>
        <v>534.59375</v>
      </c>
      <c r="S1001" s="2">
        <f>Employee_Data[[#This Row],[Annual Salary]]/12</f>
        <v>4276.75</v>
      </c>
    </row>
    <row r="1002" spans="1:19" x14ac:dyDescent="0.3">
      <c r="A1002" t="s">
        <v>18</v>
      </c>
      <c r="B1002" t="s">
        <v>19</v>
      </c>
      <c r="D1002" t="s">
        <v>21</v>
      </c>
      <c r="E1002" t="s">
        <v>22</v>
      </c>
      <c r="F1002" t="s">
        <v>23</v>
      </c>
      <c r="G1002" t="s">
        <v>24</v>
      </c>
      <c r="H1002">
        <v>47</v>
      </c>
      <c r="I1002" s="1">
        <v>44597</v>
      </c>
      <c r="J1002" s="2">
        <v>92368</v>
      </c>
      <c r="K1002" s="3">
        <v>0</v>
      </c>
      <c r="M1002" t="s">
        <v>26</v>
      </c>
      <c r="N1002" s="2">
        <f>Employee_Data[[#This Row],[Basic Salary]]*10%</f>
        <v>769.73333333333335</v>
      </c>
      <c r="O1002" s="4">
        <f>Employee_Data[[#This Row],[Basic Salary]]*7.5%</f>
        <v>577.29999999999995</v>
      </c>
      <c r="P1002" s="2">
        <f>Employee_Data[[#This Row],[Basic Salary]]*3%</f>
        <v>230.92</v>
      </c>
      <c r="Q1002" s="2">
        <f>SUM(Employee_Data[[#This Row],[Basic Salary]],Employee_Data[[#This Row],[HRA]],Employee_Data[[#This Row],[MA]],Employee_Data[[#This Row],[TA]])</f>
        <v>9275.286666666665</v>
      </c>
      <c r="R1002" s="4">
        <f>Employee_Data[[#This Row],[Basic Salary]]*12.5%</f>
        <v>962.16666666666663</v>
      </c>
      <c r="S1002" s="2">
        <f>Employee_Data[[#This Row],[Annual Salary]]/12</f>
        <v>7697.333333333333</v>
      </c>
    </row>
    <row r="1003" spans="1:19" x14ac:dyDescent="0.3">
      <c r="A1003" t="s">
        <v>27</v>
      </c>
      <c r="B1003" t="s">
        <v>28</v>
      </c>
      <c r="D1003" t="s">
        <v>30</v>
      </c>
      <c r="E1003" t="s">
        <v>31</v>
      </c>
      <c r="F1003" t="s">
        <v>23</v>
      </c>
      <c r="G1003" t="s">
        <v>24</v>
      </c>
      <c r="H1003">
        <v>58</v>
      </c>
      <c r="I1003" s="1">
        <v>41570</v>
      </c>
      <c r="J1003" s="2">
        <v>45703</v>
      </c>
      <c r="K1003" s="3">
        <v>0</v>
      </c>
      <c r="M1003" t="s">
        <v>32</v>
      </c>
      <c r="N1003" s="2">
        <f>Employee_Data[[#This Row],[Basic Salary]]*10%</f>
        <v>380.85833333333335</v>
      </c>
      <c r="O1003" s="4">
        <f>Employee_Data[[#This Row],[Basic Salary]]*7.5%</f>
        <v>285.64375000000001</v>
      </c>
      <c r="P1003" s="2">
        <f>Employee_Data[[#This Row],[Basic Salary]]*3%</f>
        <v>114.25750000000001</v>
      </c>
      <c r="Q1003" s="2">
        <f>SUM(Employee_Data[[#This Row],[Basic Salary]],Employee_Data[[#This Row],[HRA]],Employee_Data[[#This Row],[MA]],Employee_Data[[#This Row],[TA]])</f>
        <v>4589.3429166666665</v>
      </c>
      <c r="R1003" s="4">
        <f>Employee_Data[[#This Row],[Basic Salary]]*12.5%</f>
        <v>476.07291666666669</v>
      </c>
      <c r="S1003" s="2">
        <f>Employee_Data[[#This Row],[Annual Salary]]/12</f>
        <v>3808.5833333333335</v>
      </c>
    </row>
    <row r="1004" spans="1:19" x14ac:dyDescent="0.3">
      <c r="A1004" t="s">
        <v>33</v>
      </c>
      <c r="B1004" t="s">
        <v>34</v>
      </c>
      <c r="D1004" t="s">
        <v>4</v>
      </c>
      <c r="E1004" t="s">
        <v>36</v>
      </c>
      <c r="F1004" t="s">
        <v>23</v>
      </c>
      <c r="G1004" t="s">
        <v>24</v>
      </c>
      <c r="H1004">
        <v>34</v>
      </c>
      <c r="I1004" s="1">
        <v>43548</v>
      </c>
      <c r="K1004" s="3">
        <v>0</v>
      </c>
      <c r="L1004" t="s">
        <v>37</v>
      </c>
      <c r="M1004" t="s">
        <v>38</v>
      </c>
      <c r="N1004" s="2">
        <f>Employee_Data[[#This Row],[Basic Salary]]*10%</f>
        <v>0</v>
      </c>
      <c r="O1004" s="4">
        <f>Employee_Data[[#This Row],[Basic Salary]]*7.5%</f>
        <v>0</v>
      </c>
      <c r="P1004" s="2">
        <f>Employee_Data[[#This Row],[Basic Salary]]*3%</f>
        <v>0</v>
      </c>
      <c r="Q1004" s="2">
        <f>SUM(Employee_Data[[#This Row],[Basic Salary]],Employee_Data[[#This Row],[HRA]],Employee_Data[[#This Row],[MA]],Employee_Data[[#This Row],[TA]])</f>
        <v>0</v>
      </c>
      <c r="R1004" s="4">
        <f>Employee_Data[[#This Row],[Basic Salary]]*12.5%</f>
        <v>0</v>
      </c>
      <c r="S1004" s="2">
        <f>Employee_Data[[#This Row],[Annual Salary]]/12</f>
        <v>0</v>
      </c>
    </row>
    <row r="1005" spans="1:19" x14ac:dyDescent="0.3">
      <c r="A1005" t="s">
        <v>39</v>
      </c>
      <c r="B1005" t="s">
        <v>40</v>
      </c>
      <c r="D1005" t="s">
        <v>4</v>
      </c>
      <c r="E1005" t="s">
        <v>31</v>
      </c>
      <c r="F1005" t="s">
        <v>42</v>
      </c>
      <c r="G1005" t="s">
        <v>43</v>
      </c>
      <c r="H1005">
        <v>39</v>
      </c>
      <c r="I1005" s="1">
        <v>43197</v>
      </c>
      <c r="K1005" s="3">
        <v>0</v>
      </c>
      <c r="L1005" t="s">
        <v>25</v>
      </c>
      <c r="M1005" t="s">
        <v>44</v>
      </c>
      <c r="N1005" s="2">
        <f>Employee_Data[[#This Row],[Basic Salary]]*10%</f>
        <v>0</v>
      </c>
      <c r="O1005" s="4">
        <f>Employee_Data[[#This Row],[Basic Salary]]*7.5%</f>
        <v>0</v>
      </c>
      <c r="P1005" s="2">
        <f>Employee_Data[[#This Row],[Basic Salary]]*3%</f>
        <v>0</v>
      </c>
      <c r="Q1005" s="2">
        <f>SUM(Employee_Data[[#This Row],[Basic Salary]],Employee_Data[[#This Row],[HRA]],Employee_Data[[#This Row],[MA]],Employee_Data[[#This Row],[TA]])</f>
        <v>0</v>
      </c>
      <c r="R1005" s="4">
        <f>Employee_Data[[#This Row],[Basic Salary]]*12.5%</f>
        <v>0</v>
      </c>
      <c r="S1005" s="2">
        <f>Employee_Data[[#This Row],[Annual Salary]]/12</f>
        <v>0</v>
      </c>
    </row>
    <row r="1006" spans="1:19" x14ac:dyDescent="0.3">
      <c r="A1006" t="s">
        <v>45</v>
      </c>
      <c r="B1006" t="s">
        <v>46</v>
      </c>
      <c r="D1006" t="s">
        <v>21</v>
      </c>
      <c r="E1006" t="s">
        <v>31</v>
      </c>
      <c r="F1006" t="s">
        <v>42</v>
      </c>
      <c r="G1006" t="s">
        <v>43</v>
      </c>
      <c r="H1006">
        <v>42</v>
      </c>
      <c r="I1006" s="1">
        <v>38521</v>
      </c>
      <c r="K1006" s="3">
        <v>0.24</v>
      </c>
      <c r="L1006" t="s">
        <v>25</v>
      </c>
      <c r="M1006" t="s">
        <v>48</v>
      </c>
      <c r="N1006" s="2">
        <f>Employee_Data[[#This Row],[Basic Salary]]*10%</f>
        <v>0</v>
      </c>
      <c r="O1006" s="4">
        <f>Employee_Data[[#This Row],[Basic Salary]]*7.5%</f>
        <v>0</v>
      </c>
      <c r="P1006" s="2">
        <f>Employee_Data[[#This Row],[Basic Salary]]*3%</f>
        <v>0</v>
      </c>
      <c r="Q1006" s="2">
        <f>SUM(Employee_Data[[#This Row],[Basic Salary]],Employee_Data[[#This Row],[HRA]],Employee_Data[[#This Row],[MA]],Employee_Data[[#This Row],[TA]])</f>
        <v>0</v>
      </c>
      <c r="R1006" s="4">
        <f>Employee_Data[[#This Row],[Basic Salary]]*12.5%</f>
        <v>0</v>
      </c>
      <c r="S1006" s="2">
        <f>Employee_Data[[#This Row],[Annual Salary]]/12</f>
        <v>0</v>
      </c>
    </row>
    <row r="1007" spans="1:19" x14ac:dyDescent="0.3">
      <c r="A1007" t="s">
        <v>49</v>
      </c>
      <c r="B1007" t="s">
        <v>50</v>
      </c>
      <c r="D1007" t="s">
        <v>4</v>
      </c>
      <c r="E1007" t="s">
        <v>22</v>
      </c>
      <c r="G1007" t="s">
        <v>24</v>
      </c>
      <c r="H1007">
        <v>62</v>
      </c>
      <c r="I1007" s="1">
        <v>38099</v>
      </c>
      <c r="K1007" s="3">
        <v>0</v>
      </c>
      <c r="L1007" t="s">
        <v>25</v>
      </c>
      <c r="M1007" t="s">
        <v>51</v>
      </c>
      <c r="N1007" s="2">
        <f>Employee_Data[[#This Row],[Basic Salary]]*10%</f>
        <v>0</v>
      </c>
      <c r="O1007" s="4">
        <f>Employee_Data[[#This Row],[Basic Salary]]*7.5%</f>
        <v>0</v>
      </c>
      <c r="P1007" s="2">
        <f>Employee_Data[[#This Row],[Basic Salary]]*3%</f>
        <v>0</v>
      </c>
      <c r="Q1007" s="2">
        <f>SUM(Employee_Data[[#This Row],[Basic Salary]],Employee_Data[[#This Row],[HRA]],Employee_Data[[#This Row],[MA]],Employee_Data[[#This Row],[TA]])</f>
        <v>0</v>
      </c>
      <c r="R1007" s="4">
        <f>Employee_Data[[#This Row],[Basic Salary]]*12.5%</f>
        <v>0</v>
      </c>
      <c r="S1007" s="2">
        <f>Employee_Data[[#This Row],[Annual Salary]]/12</f>
        <v>0</v>
      </c>
    </row>
    <row r="1008" spans="1:19" x14ac:dyDescent="0.3">
      <c r="A1008" t="s">
        <v>52</v>
      </c>
      <c r="B1008" t="s">
        <v>53</v>
      </c>
      <c r="C1008" t="s">
        <v>54</v>
      </c>
      <c r="H1008">
        <v>58</v>
      </c>
      <c r="I1008" s="1">
        <v>39991</v>
      </c>
      <c r="K1008" s="3">
        <v>0</v>
      </c>
      <c r="L1008" t="s">
        <v>37</v>
      </c>
      <c r="M1008" t="s">
        <v>57</v>
      </c>
      <c r="N1008" s="2">
        <f>Employee_Data[[#This Row],[Basic Salary]]*10%</f>
        <v>0</v>
      </c>
      <c r="O1008" s="4">
        <f>Employee_Data[[#This Row],[Basic Salary]]*7.5%</f>
        <v>0</v>
      </c>
      <c r="P1008" s="2">
        <f>Employee_Data[[#This Row],[Basic Salary]]*3%</f>
        <v>0</v>
      </c>
      <c r="Q1008" s="2">
        <f>SUM(Employee_Data[[#This Row],[Basic Salary]],Employee_Data[[#This Row],[HRA]],Employee_Data[[#This Row],[MA]],Employee_Data[[#This Row],[TA]])</f>
        <v>0</v>
      </c>
      <c r="R1008" s="4">
        <f>Employee_Data[[#This Row],[Basic Salary]]*12.5%</f>
        <v>0</v>
      </c>
      <c r="S1008" s="2">
        <f>Employee_Data[[#This Row],[Annual Salary]]/12</f>
        <v>0</v>
      </c>
    </row>
    <row r="1009" spans="1:19" x14ac:dyDescent="0.3">
      <c r="A1009" t="s">
        <v>58</v>
      </c>
      <c r="B1009" t="s">
        <v>59</v>
      </c>
      <c r="C1009" t="s">
        <v>60</v>
      </c>
      <c r="D1009" t="s">
        <v>61</v>
      </c>
      <c r="E1009" t="s">
        <v>31</v>
      </c>
      <c r="F1009" t="s">
        <v>23</v>
      </c>
      <c r="H1009">
        <v>62</v>
      </c>
      <c r="I1009" s="1">
        <v>36210</v>
      </c>
      <c r="J1009" s="2">
        <v>69674</v>
      </c>
      <c r="K1009" s="3">
        <v>0</v>
      </c>
      <c r="L1009" t="s">
        <v>37</v>
      </c>
      <c r="M1009" t="s">
        <v>62</v>
      </c>
      <c r="N1009" s="2">
        <f>Employee_Data[[#This Row],[Basic Salary]]*10%</f>
        <v>580.61666666666667</v>
      </c>
      <c r="O1009" s="4">
        <f>Employee_Data[[#This Row],[Basic Salary]]*7.5%</f>
        <v>435.46250000000003</v>
      </c>
      <c r="P1009" s="2">
        <f>Employee_Data[[#This Row],[Basic Salary]]*3%</f>
        <v>174.185</v>
      </c>
      <c r="Q1009" s="2">
        <f>SUM(Employee_Data[[#This Row],[Basic Salary]],Employee_Data[[#This Row],[HRA]],Employee_Data[[#This Row],[MA]],Employee_Data[[#This Row],[TA]])</f>
        <v>6996.4308333333338</v>
      </c>
      <c r="R1009" s="4">
        <f>Employee_Data[[#This Row],[Basic Salary]]*12.5%</f>
        <v>725.77083333333337</v>
      </c>
      <c r="S1009" s="2">
        <f>Employee_Data[[#This Row],[Annual Salary]]/12</f>
        <v>5806.166666666667</v>
      </c>
    </row>
    <row r="1010" spans="1:19" x14ac:dyDescent="0.3">
      <c r="A1010" t="s">
        <v>63</v>
      </c>
      <c r="B1010" t="s">
        <v>64</v>
      </c>
      <c r="C1010" t="s">
        <v>65</v>
      </c>
      <c r="D1010" t="s">
        <v>4</v>
      </c>
      <c r="E1010" t="s">
        <v>22</v>
      </c>
      <c r="F1010" t="s">
        <v>42</v>
      </c>
      <c r="H1010">
        <v>38</v>
      </c>
      <c r="I1010" s="1">
        <v>40795</v>
      </c>
      <c r="J1010" s="2">
        <v>97630</v>
      </c>
      <c r="K1010" s="3">
        <v>0</v>
      </c>
      <c r="L1010" t="s">
        <v>25</v>
      </c>
      <c r="M1010" t="s">
        <v>44</v>
      </c>
      <c r="N1010" s="2">
        <f>Employee_Data[[#This Row],[Basic Salary]]*10%</f>
        <v>813.58333333333337</v>
      </c>
      <c r="O1010" s="4">
        <f>Employee_Data[[#This Row],[Basic Salary]]*7.5%</f>
        <v>610.1875</v>
      </c>
      <c r="P1010" s="2">
        <f>Employee_Data[[#This Row],[Basic Salary]]*3%</f>
        <v>244.07499999999999</v>
      </c>
      <c r="Q1010" s="2">
        <f>SUM(Employee_Data[[#This Row],[Basic Salary]],Employee_Data[[#This Row],[HRA]],Employee_Data[[#This Row],[MA]],Employee_Data[[#This Row],[TA]])</f>
        <v>9803.6791666666668</v>
      </c>
      <c r="R1010" s="4">
        <f>Employee_Data[[#This Row],[Basic Salary]]*12.5%</f>
        <v>1016.9791666666666</v>
      </c>
      <c r="S1010" s="2">
        <f>Employee_Data[[#This Row],[Annual Salary]]/12</f>
        <v>8135.833333333333</v>
      </c>
    </row>
    <row r="1011" spans="1:19" x14ac:dyDescent="0.3">
      <c r="A1011" t="s">
        <v>67</v>
      </c>
      <c r="B1011" t="s">
        <v>68</v>
      </c>
      <c r="C1011" t="s">
        <v>69</v>
      </c>
      <c r="D1011" t="s">
        <v>61</v>
      </c>
      <c r="E1011" t="s">
        <v>56</v>
      </c>
      <c r="F1011" t="s">
        <v>23</v>
      </c>
      <c r="H1011">
        <v>52</v>
      </c>
      <c r="I1011" s="1">
        <v>42040</v>
      </c>
      <c r="J1011" s="2">
        <v>105879</v>
      </c>
      <c r="K1011" s="3">
        <v>0.1</v>
      </c>
      <c r="L1011" t="s">
        <v>25</v>
      </c>
      <c r="M1011" t="s">
        <v>70</v>
      </c>
      <c r="N1011" s="2">
        <f>Employee_Data[[#This Row],[Basic Salary]]*10%</f>
        <v>882.32500000000005</v>
      </c>
      <c r="O1011" s="4">
        <f>Employee_Data[[#This Row],[Basic Salary]]*7.5%</f>
        <v>661.74374999999998</v>
      </c>
      <c r="P1011" s="2">
        <f>Employee_Data[[#This Row],[Basic Salary]]*3%</f>
        <v>264.69749999999999</v>
      </c>
      <c r="Q1011" s="2">
        <f>SUM(Employee_Data[[#This Row],[Basic Salary]],Employee_Data[[#This Row],[HRA]],Employee_Data[[#This Row],[MA]],Employee_Data[[#This Row],[TA]])</f>
        <v>10632.016250000001</v>
      </c>
      <c r="R1011" s="4">
        <f>Employee_Data[[#This Row],[Basic Salary]]*12.5%</f>
        <v>1102.90625</v>
      </c>
      <c r="S1011" s="2">
        <f>Employee_Data[[#This Row],[Annual Salary]]/12</f>
        <v>8823.25</v>
      </c>
    </row>
    <row r="1012" spans="1:19" x14ac:dyDescent="0.3">
      <c r="A1012" t="s">
        <v>71</v>
      </c>
      <c r="B1012" t="s">
        <v>72</v>
      </c>
      <c r="C1012" t="s">
        <v>73</v>
      </c>
      <c r="D1012" t="s">
        <v>4</v>
      </c>
      <c r="E1012" t="s">
        <v>22</v>
      </c>
      <c r="F1012" t="s">
        <v>23</v>
      </c>
      <c r="H1012">
        <v>49</v>
      </c>
      <c r="I1012" s="1">
        <v>37906</v>
      </c>
      <c r="J1012" s="2">
        <v>40499</v>
      </c>
      <c r="K1012" s="3">
        <v>0</v>
      </c>
      <c r="L1012" t="s">
        <v>25</v>
      </c>
      <c r="M1012" t="s">
        <v>70</v>
      </c>
      <c r="N1012" s="2">
        <f>Employee_Data[[#This Row],[Basic Salary]]*10%</f>
        <v>337.49166666666667</v>
      </c>
      <c r="O1012" s="4">
        <f>Employee_Data[[#This Row],[Basic Salary]]*7.5%</f>
        <v>253.11874999999998</v>
      </c>
      <c r="P1012" s="2">
        <f>Employee_Data[[#This Row],[Basic Salary]]*3%</f>
        <v>101.24749999999999</v>
      </c>
      <c r="Q1012" s="2">
        <f>SUM(Employee_Data[[#This Row],[Basic Salary]],Employee_Data[[#This Row],[HRA]],Employee_Data[[#This Row],[MA]],Employee_Data[[#This Row],[TA]])</f>
        <v>4066.7745833333333</v>
      </c>
      <c r="R1012" s="4">
        <f>Employee_Data[[#This Row],[Basic Salary]]*12.5%</f>
        <v>421.86458333333331</v>
      </c>
      <c r="S1012" s="2">
        <f>Employee_Data[[#This Row],[Annual Salary]]/12</f>
        <v>3374.9166666666665</v>
      </c>
    </row>
    <row r="1013" spans="1:19" x14ac:dyDescent="0.3">
      <c r="A1013" t="s">
        <v>74</v>
      </c>
      <c r="B1013" t="s">
        <v>75</v>
      </c>
      <c r="C1013" t="s">
        <v>54</v>
      </c>
      <c r="D1013" t="s">
        <v>61</v>
      </c>
      <c r="E1013" t="s">
        <v>56</v>
      </c>
      <c r="F1013" t="s">
        <v>42</v>
      </c>
      <c r="H1013">
        <v>63</v>
      </c>
      <c r="I1013" s="1">
        <v>41854</v>
      </c>
      <c r="J1013" s="2">
        <v>71418</v>
      </c>
      <c r="K1013" s="3">
        <v>0</v>
      </c>
      <c r="L1013" t="s">
        <v>25</v>
      </c>
      <c r="M1013" t="s">
        <v>51</v>
      </c>
      <c r="N1013" s="2">
        <f>Employee_Data[[#This Row],[Basic Salary]]*10%</f>
        <v>595.15</v>
      </c>
      <c r="O1013" s="4">
        <f>Employee_Data[[#This Row],[Basic Salary]]*7.5%</f>
        <v>446.36250000000001</v>
      </c>
      <c r="P1013" s="2">
        <f>Employee_Data[[#This Row],[Basic Salary]]*3%</f>
        <v>178.54499999999999</v>
      </c>
      <c r="Q1013" s="2">
        <f>SUM(Employee_Data[[#This Row],[Basic Salary]],Employee_Data[[#This Row],[HRA]],Employee_Data[[#This Row],[MA]],Employee_Data[[#This Row],[TA]])</f>
        <v>7171.5574999999999</v>
      </c>
      <c r="R1013" s="4">
        <f>Employee_Data[[#This Row],[Basic Salary]]*12.5%</f>
        <v>743.9375</v>
      </c>
      <c r="S1013" s="2">
        <f>Employee_Data[[#This Row],[Annual Salary]]/12</f>
        <v>5951.5</v>
      </c>
    </row>
    <row r="1014" spans="1:19" x14ac:dyDescent="0.3">
      <c r="A1014" t="s">
        <v>76</v>
      </c>
      <c r="B1014" t="s">
        <v>77</v>
      </c>
      <c r="C1014" t="s">
        <v>47</v>
      </c>
      <c r="D1014" t="s">
        <v>4</v>
      </c>
      <c r="E1014" t="s">
        <v>22</v>
      </c>
      <c r="F1014" t="s">
        <v>23</v>
      </c>
      <c r="H1014">
        <v>45</v>
      </c>
      <c r="I1014" s="1">
        <v>43054</v>
      </c>
      <c r="J1014" s="2">
        <v>150558</v>
      </c>
      <c r="K1014" s="3">
        <v>0.23</v>
      </c>
      <c r="L1014" t="s">
        <v>37</v>
      </c>
      <c r="M1014" t="s">
        <v>57</v>
      </c>
      <c r="N1014" s="2">
        <f>Employee_Data[[#This Row],[Basic Salary]]*10%</f>
        <v>1254.6500000000001</v>
      </c>
      <c r="O1014" s="4">
        <f>Employee_Data[[#This Row],[Basic Salary]]*7.5%</f>
        <v>940.98749999999995</v>
      </c>
      <c r="P1014" s="2">
        <f>Employee_Data[[#This Row],[Basic Salary]]*3%</f>
        <v>376.39499999999998</v>
      </c>
      <c r="Q1014" s="2">
        <f>SUM(Employee_Data[[#This Row],[Basic Salary]],Employee_Data[[#This Row],[HRA]],Employee_Data[[#This Row],[MA]],Employee_Data[[#This Row],[TA]])</f>
        <v>15118.532499999999</v>
      </c>
      <c r="R1014" s="4">
        <f>Employee_Data[[#This Row],[Basic Salary]]*12.5%</f>
        <v>1568.3125</v>
      </c>
      <c r="S1014" s="2">
        <f>Employee_Data[[#This Row],[Annual Salary]]/12</f>
        <v>12546.5</v>
      </c>
    </row>
    <row r="1015" spans="1:19" x14ac:dyDescent="0.3">
      <c r="A1015" t="s">
        <v>1951</v>
      </c>
      <c r="B1015" t="s">
        <v>2021</v>
      </c>
      <c r="C1015" t="s">
        <v>54</v>
      </c>
      <c r="D1015" t="s">
        <v>55</v>
      </c>
      <c r="E1015" t="s">
        <v>36</v>
      </c>
      <c r="F1015" t="s">
        <v>42</v>
      </c>
      <c r="H1015">
        <v>49</v>
      </c>
      <c r="I1015" s="1">
        <v>36448</v>
      </c>
      <c r="K1015" s="3">
        <v>0</v>
      </c>
      <c r="L1015" t="s">
        <v>25</v>
      </c>
      <c r="M1015" t="s">
        <v>48</v>
      </c>
      <c r="N1015" s="2">
        <f>Employee_Data[[#This Row],[Basic Salary]]*10%</f>
        <v>0</v>
      </c>
      <c r="O1015" s="4">
        <f>Employee_Data[[#This Row],[Basic Salary]]*7.5%</f>
        <v>0</v>
      </c>
      <c r="P1015" s="2">
        <f>Employee_Data[[#This Row],[Basic Salary]]*3%</f>
        <v>0</v>
      </c>
      <c r="Q1015" s="2">
        <f>SUM(Employee_Data[[#This Row],[Basic Salary]],Employee_Data[[#This Row],[HRA]],Employee_Data[[#This Row],[MA]],Employee_Data[[#This Row],[TA]])</f>
        <v>0</v>
      </c>
      <c r="R1015" s="4">
        <f>Employee_Data[[#This Row],[Basic Salary]]*12.5%</f>
        <v>0</v>
      </c>
      <c r="S1015" s="2">
        <f>Employee_Data[[#This Row],[Annual Salary]]/12</f>
        <v>0</v>
      </c>
    </row>
    <row r="1016" spans="1:19" x14ac:dyDescent="0.3">
      <c r="A1016" t="s">
        <v>1952</v>
      </c>
      <c r="B1016" t="s">
        <v>2022</v>
      </c>
      <c r="C1016" t="s">
        <v>89</v>
      </c>
      <c r="D1016" t="s">
        <v>21</v>
      </c>
      <c r="E1016" t="s">
        <v>56</v>
      </c>
      <c r="F1016" t="s">
        <v>42</v>
      </c>
      <c r="H1016">
        <v>43</v>
      </c>
      <c r="I1016" s="1">
        <v>40858</v>
      </c>
      <c r="J1016" s="2">
        <v>185211</v>
      </c>
      <c r="K1016" s="3">
        <v>0.39</v>
      </c>
      <c r="L1016" t="s">
        <v>137</v>
      </c>
      <c r="M1016" t="s">
        <v>183</v>
      </c>
      <c r="N1016" s="2">
        <f>Employee_Data[[#This Row],[Basic Salary]]*10%</f>
        <v>1543.4250000000002</v>
      </c>
      <c r="O1016" s="4">
        <f>Employee_Data[[#This Row],[Basic Salary]]*7.5%</f>
        <v>1157.5687499999999</v>
      </c>
      <c r="P1016" s="2">
        <f>Employee_Data[[#This Row],[Basic Salary]]*3%</f>
        <v>463.02749999999997</v>
      </c>
      <c r="Q1016" s="2">
        <f>SUM(Employee_Data[[#This Row],[Basic Salary]],Employee_Data[[#This Row],[HRA]],Employee_Data[[#This Row],[MA]],Employee_Data[[#This Row],[TA]])</f>
        <v>18598.271249999998</v>
      </c>
      <c r="R1016" s="4">
        <f>Employee_Data[[#This Row],[Basic Salary]]*12.5%</f>
        <v>1929.28125</v>
      </c>
      <c r="S1016" s="2">
        <f>Employee_Data[[#This Row],[Annual Salary]]/12</f>
        <v>15434.25</v>
      </c>
    </row>
    <row r="1017" spans="1:19" x14ac:dyDescent="0.3">
      <c r="A1017" t="s">
        <v>1953</v>
      </c>
      <c r="B1017" t="s">
        <v>2023</v>
      </c>
      <c r="C1017" t="s">
        <v>69</v>
      </c>
      <c r="D1017" t="s">
        <v>80</v>
      </c>
      <c r="E1017" t="s">
        <v>56</v>
      </c>
      <c r="F1017" t="s">
        <v>42</v>
      </c>
      <c r="H1017">
        <v>53</v>
      </c>
      <c r="I1017" s="1">
        <v>41734</v>
      </c>
      <c r="J1017" s="2">
        <v>125099</v>
      </c>
      <c r="K1017" s="3">
        <v>0.08</v>
      </c>
      <c r="L1017" t="s">
        <v>37</v>
      </c>
      <c r="M1017" t="s">
        <v>62</v>
      </c>
      <c r="N1017" s="2">
        <f>Employee_Data[[#This Row],[Basic Salary]]*10%</f>
        <v>1042.4916666666666</v>
      </c>
      <c r="O1017" s="4">
        <f>Employee_Data[[#This Row],[Basic Salary]]*7.5%</f>
        <v>781.86874999999998</v>
      </c>
      <c r="P1017" s="2">
        <f>Employee_Data[[#This Row],[Basic Salary]]*3%</f>
        <v>312.74749999999995</v>
      </c>
      <c r="Q1017" s="2">
        <f>SUM(Employee_Data[[#This Row],[Basic Salary]],Employee_Data[[#This Row],[HRA]],Employee_Data[[#This Row],[MA]],Employee_Data[[#This Row],[TA]])</f>
        <v>12562.024583333332</v>
      </c>
      <c r="R1017" s="4">
        <f>Employee_Data[[#This Row],[Basic Salary]]*12.5%</f>
        <v>1303.1145833333333</v>
      </c>
      <c r="S1017" s="2">
        <f>Employee_Data[[#This Row],[Annual Salary]]/12</f>
        <v>10424.916666666666</v>
      </c>
    </row>
    <row r="1018" spans="1:19" x14ac:dyDescent="0.3">
      <c r="A1018" t="s">
        <v>2024</v>
      </c>
      <c r="B1018" t="s">
        <v>2025</v>
      </c>
      <c r="C1018" t="s">
        <v>54</v>
      </c>
      <c r="D1018" t="s">
        <v>30</v>
      </c>
      <c r="E1018" t="s">
        <v>22</v>
      </c>
      <c r="F1018" t="s">
        <v>23</v>
      </c>
      <c r="G1018" t="s">
        <v>43</v>
      </c>
      <c r="H1018">
        <v>41</v>
      </c>
      <c r="I1018" s="1">
        <v>40682</v>
      </c>
      <c r="J1018" s="2">
        <v>84627</v>
      </c>
      <c r="K1018" s="3">
        <v>0</v>
      </c>
      <c r="L1018" t="s">
        <v>137</v>
      </c>
      <c r="M1018" t="s">
        <v>289</v>
      </c>
      <c r="N1018" s="2">
        <f>Employee_Data[[#This Row],[Basic Salary]]*10%</f>
        <v>705.22500000000002</v>
      </c>
      <c r="O1018" s="4">
        <f>Employee_Data[[#This Row],[Basic Salary]]*7.5%</f>
        <v>528.91874999999993</v>
      </c>
      <c r="P1018" s="2">
        <f>Employee_Data[[#This Row],[Basic Salary]]*3%</f>
        <v>211.5675</v>
      </c>
      <c r="Q1018" s="2">
        <f>SUM(Employee_Data[[#This Row],[Basic Salary]],Employee_Data[[#This Row],[HRA]],Employee_Data[[#This Row],[MA]],Employee_Data[[#This Row],[TA]])</f>
        <v>8497.9612500000003</v>
      </c>
      <c r="R1018" s="4">
        <f>Employee_Data[[#This Row],[Basic Salary]]*12.5%</f>
        <v>881.53125</v>
      </c>
      <c r="S1018" s="2">
        <f>Employee_Data[[#This Row],[Annual Salary]]/12</f>
        <v>7052.25</v>
      </c>
    </row>
    <row r="1019" spans="1:19" x14ac:dyDescent="0.3">
      <c r="A1019" t="s">
        <v>2026</v>
      </c>
      <c r="B1019" t="s">
        <v>1954</v>
      </c>
      <c r="C1019" t="s">
        <v>89</v>
      </c>
      <c r="D1019" t="s">
        <v>21</v>
      </c>
      <c r="E1019" t="s">
        <v>31</v>
      </c>
      <c r="F1019" t="s">
        <v>23</v>
      </c>
      <c r="G1019" t="s">
        <v>24</v>
      </c>
      <c r="H1019">
        <v>26</v>
      </c>
      <c r="I1019" s="1">
        <v>43892</v>
      </c>
      <c r="J1019" s="2">
        <v>211114</v>
      </c>
      <c r="K1019" s="3">
        <v>0.3</v>
      </c>
      <c r="L1019" t="s">
        <v>25</v>
      </c>
      <c r="M1019" t="s">
        <v>70</v>
      </c>
      <c r="N1019" s="2">
        <f>Employee_Data[[#This Row],[Basic Salary]]*10%</f>
        <v>1759.2833333333333</v>
      </c>
      <c r="O1019" s="4">
        <f>Employee_Data[[#This Row],[Basic Salary]]*7.5%</f>
        <v>1319.4624999999999</v>
      </c>
      <c r="P1019" s="2">
        <f>Employee_Data[[#This Row],[Basic Salary]]*3%</f>
        <v>527.78499999999997</v>
      </c>
      <c r="Q1019" s="2">
        <f>SUM(Employee_Data[[#This Row],[Basic Salary]],Employee_Data[[#This Row],[HRA]],Employee_Data[[#This Row],[MA]],Employee_Data[[#This Row],[TA]])</f>
        <v>21199.364166666666</v>
      </c>
      <c r="R1019" s="4">
        <f>Employee_Data[[#This Row],[Basic Salary]]*12.5%</f>
        <v>2199.1041666666665</v>
      </c>
      <c r="S1019" s="2">
        <f>Employee_Data[[#This Row],[Annual Salary]]/12</f>
        <v>17592.833333333332</v>
      </c>
    </row>
    <row r="1020" spans="1:19" x14ac:dyDescent="0.3">
      <c r="A1020" t="s">
        <v>1955</v>
      </c>
      <c r="B1020" t="s">
        <v>1956</v>
      </c>
      <c r="C1020" t="s">
        <v>54</v>
      </c>
      <c r="D1020" t="s">
        <v>80</v>
      </c>
      <c r="E1020" t="s">
        <v>36</v>
      </c>
      <c r="F1020" t="s">
        <v>42</v>
      </c>
      <c r="G1020" t="s">
        <v>24</v>
      </c>
      <c r="H1020">
        <v>57</v>
      </c>
      <c r="I1020" s="1">
        <v>35087</v>
      </c>
      <c r="J1020" s="2">
        <v>73117</v>
      </c>
      <c r="L1020" t="s">
        <v>25</v>
      </c>
      <c r="M1020" t="s">
        <v>26</v>
      </c>
      <c r="N1020" s="2">
        <f>Employee_Data[[#This Row],[Basic Salary]]*10%</f>
        <v>609.30833333333328</v>
      </c>
      <c r="O1020" s="4">
        <f>Employee_Data[[#This Row],[Basic Salary]]*7.5%</f>
        <v>456.98124999999999</v>
      </c>
      <c r="P1020" s="2">
        <f>Employee_Data[[#This Row],[Basic Salary]]*3%</f>
        <v>182.79249999999999</v>
      </c>
      <c r="Q1020" s="2">
        <f>SUM(Employee_Data[[#This Row],[Basic Salary]],Employee_Data[[#This Row],[HRA]],Employee_Data[[#This Row],[MA]],Employee_Data[[#This Row],[TA]])</f>
        <v>7342.1654166666658</v>
      </c>
      <c r="R1020" s="4">
        <f>Employee_Data[[#This Row],[Basic Salary]]*12.5%</f>
        <v>761.63541666666663</v>
      </c>
      <c r="S1020" s="2">
        <f>Employee_Data[[#This Row],[Annual Salary]]/12</f>
        <v>6093.083333333333</v>
      </c>
    </row>
    <row r="1021" spans="1:19" x14ac:dyDescent="0.3">
      <c r="A1021" t="s">
        <v>1957</v>
      </c>
      <c r="B1021" t="s">
        <v>1958</v>
      </c>
      <c r="C1021" t="s">
        <v>29</v>
      </c>
      <c r="D1021" t="s">
        <v>80</v>
      </c>
      <c r="E1021" t="s">
        <v>56</v>
      </c>
      <c r="F1021" t="s">
        <v>23</v>
      </c>
      <c r="G1021" t="s">
        <v>43</v>
      </c>
      <c r="H1021">
        <v>41</v>
      </c>
      <c r="I1021" s="1">
        <v>43151</v>
      </c>
      <c r="K1021" s="3">
        <v>0</v>
      </c>
      <c r="L1021" t="s">
        <v>25</v>
      </c>
      <c r="M1021" t="s">
        <v>48</v>
      </c>
      <c r="N1021" s="2">
        <f>Employee_Data[[#This Row],[Basic Salary]]*10%</f>
        <v>0</v>
      </c>
      <c r="O1021" s="4">
        <f>Employee_Data[[#This Row],[Basic Salary]]*7.5%</f>
        <v>0</v>
      </c>
      <c r="P1021" s="2">
        <f>Employee_Data[[#This Row],[Basic Salary]]*3%</f>
        <v>0</v>
      </c>
      <c r="Q1021" s="2">
        <f>SUM(Employee_Data[[#This Row],[Basic Salary]],Employee_Data[[#This Row],[HRA]],Employee_Data[[#This Row],[MA]],Employee_Data[[#This Row],[TA]])</f>
        <v>0</v>
      </c>
      <c r="R1021" s="4">
        <f>Employee_Data[[#This Row],[Basic Salary]]*12.5%</f>
        <v>0</v>
      </c>
      <c r="S1021" s="2">
        <f>Employee_Data[[#This Row],[Annual Salary]]/12</f>
        <v>0</v>
      </c>
    </row>
    <row r="1022" spans="1:19" x14ac:dyDescent="0.3">
      <c r="B1022" t="s">
        <v>1888</v>
      </c>
      <c r="C1022" t="s">
        <v>173</v>
      </c>
      <c r="D1022" t="s">
        <v>4</v>
      </c>
      <c r="E1022" t="s">
        <v>36</v>
      </c>
      <c r="F1022" t="s">
        <v>23</v>
      </c>
      <c r="G1022" t="s">
        <v>66</v>
      </c>
      <c r="H1022">
        <v>52</v>
      </c>
      <c r="I1022" s="1">
        <v>34561</v>
      </c>
      <c r="J1022" s="2">
        <v>73779</v>
      </c>
      <c r="K1022" s="3">
        <v>0</v>
      </c>
      <c r="L1022" t="s">
        <v>25</v>
      </c>
      <c r="M1022" t="s">
        <v>32</v>
      </c>
      <c r="N1022" s="2">
        <f>Employee_Data[[#This Row],[Basic Salary]]*10%</f>
        <v>614.82500000000005</v>
      </c>
      <c r="O1022" s="4">
        <f>Employee_Data[[#This Row],[Basic Salary]]*7.5%</f>
        <v>461.11874999999998</v>
      </c>
      <c r="P1022" s="2">
        <f>Employee_Data[[#This Row],[Basic Salary]]*3%</f>
        <v>184.44749999999999</v>
      </c>
      <c r="Q1022" s="2">
        <f>SUM(Employee_Data[[#This Row],[Basic Salary]],Employee_Data[[#This Row],[HRA]],Employee_Data[[#This Row],[MA]],Employee_Data[[#This Row],[TA]])</f>
        <v>7408.6412499999997</v>
      </c>
      <c r="R1022" s="4">
        <f>Employee_Data[[#This Row],[Basic Salary]]*12.5%</f>
        <v>768.53125</v>
      </c>
      <c r="S1022" s="2">
        <f>Employee_Data[[#This Row],[Annual Salary]]/12</f>
        <v>6148.25</v>
      </c>
    </row>
    <row r="1023" spans="1:19" x14ac:dyDescent="0.3">
      <c r="A1023" t="s">
        <v>1889</v>
      </c>
      <c r="C1023" t="s">
        <v>89</v>
      </c>
      <c r="D1023" t="s">
        <v>55</v>
      </c>
      <c r="E1023" t="s">
        <v>31</v>
      </c>
      <c r="F1023" t="s">
        <v>42</v>
      </c>
      <c r="G1023" t="s">
        <v>43</v>
      </c>
      <c r="H1023">
        <v>56</v>
      </c>
      <c r="J1023" s="2">
        <v>231699</v>
      </c>
      <c r="K1023" s="3">
        <v>0.32</v>
      </c>
      <c r="L1023" t="s">
        <v>137</v>
      </c>
      <c r="M1023" t="s">
        <v>289</v>
      </c>
      <c r="N1023" s="2">
        <f>Employee_Data[[#This Row],[Basic Salary]]*10%</f>
        <v>1930.825</v>
      </c>
      <c r="O1023" s="4">
        <f>Employee_Data[[#This Row],[Basic Salary]]*7.5%</f>
        <v>1448.1187499999999</v>
      </c>
      <c r="P1023" s="2">
        <f>Employee_Data[[#This Row],[Basic Salary]]*3%</f>
        <v>579.24749999999995</v>
      </c>
      <c r="Q1023" s="2">
        <f>SUM(Employee_Data[[#This Row],[Basic Salary]],Employee_Data[[#This Row],[HRA]],Employee_Data[[#This Row],[MA]],Employee_Data[[#This Row],[TA]])</f>
        <v>23266.441250000003</v>
      </c>
      <c r="R1023" s="4">
        <f>Employee_Data[[#This Row],[Basic Salary]]*12.5%</f>
        <v>2413.53125</v>
      </c>
      <c r="S1023" s="2">
        <f>Employee_Data[[#This Row],[Annual Salary]]/12</f>
        <v>19308.25</v>
      </c>
    </row>
    <row r="1024" spans="1:19" x14ac:dyDescent="0.3">
      <c r="A1024" t="s">
        <v>1891</v>
      </c>
      <c r="B1024" t="s">
        <v>1892</v>
      </c>
      <c r="C1024" t="s">
        <v>89</v>
      </c>
      <c r="D1024" t="s">
        <v>61</v>
      </c>
      <c r="E1024" t="s">
        <v>31</v>
      </c>
      <c r="F1024" t="s">
        <v>23</v>
      </c>
      <c r="G1024" t="s">
        <v>84</v>
      </c>
      <c r="H1024">
        <v>37</v>
      </c>
      <c r="J1024" s="2">
        <v>199512</v>
      </c>
      <c r="K1024" s="3">
        <v>0.35</v>
      </c>
      <c r="L1024" t="s">
        <v>25</v>
      </c>
      <c r="M1024" t="s">
        <v>48</v>
      </c>
      <c r="N1024" s="2">
        <f>Employee_Data[[#This Row],[Basic Salary]]*10%</f>
        <v>1662.6000000000001</v>
      </c>
      <c r="O1024" s="4">
        <f>Employee_Data[[#This Row],[Basic Salary]]*7.5%</f>
        <v>1246.95</v>
      </c>
      <c r="P1024" s="2">
        <f>Employee_Data[[#This Row],[Basic Salary]]*3%</f>
        <v>498.78</v>
      </c>
      <c r="Q1024" s="2">
        <f>SUM(Employee_Data[[#This Row],[Basic Salary]],Employee_Data[[#This Row],[HRA]],Employee_Data[[#This Row],[MA]],Employee_Data[[#This Row],[TA]])</f>
        <v>20034.329999999998</v>
      </c>
      <c r="R1024" s="4">
        <f>Employee_Data[[#This Row],[Basic Salary]]*12.5%</f>
        <v>2078.25</v>
      </c>
      <c r="S1024" s="2">
        <f>Employee_Data[[#This Row],[Annual Salary]]/12</f>
        <v>16626</v>
      </c>
    </row>
    <row r="1025" spans="1:19" x14ac:dyDescent="0.3">
      <c r="C1025" t="s">
        <v>380</v>
      </c>
      <c r="D1025" t="s">
        <v>4</v>
      </c>
      <c r="E1025" t="s">
        <v>31</v>
      </c>
      <c r="F1025" t="s">
        <v>23</v>
      </c>
      <c r="G1025" t="s">
        <v>66</v>
      </c>
      <c r="H1025">
        <v>29</v>
      </c>
      <c r="I1025" s="1">
        <v>44660</v>
      </c>
      <c r="J1025" s="2">
        <v>77557</v>
      </c>
      <c r="K1025" s="3">
        <v>0</v>
      </c>
      <c r="L1025" t="s">
        <v>25</v>
      </c>
      <c r="M1025" t="s">
        <v>70</v>
      </c>
      <c r="N1025" s="2">
        <f>Employee_Data[[#This Row],[Basic Salary]]*10%</f>
        <v>646.30833333333339</v>
      </c>
      <c r="O1025" s="4">
        <f>Employee_Data[[#This Row],[Basic Salary]]*7.5%</f>
        <v>484.73124999999993</v>
      </c>
      <c r="P1025" s="2">
        <f>Employee_Data[[#This Row],[Basic Salary]]*3%</f>
        <v>193.89249999999998</v>
      </c>
      <c r="Q1025" s="2">
        <f>SUM(Employee_Data[[#This Row],[Basic Salary]],Employee_Data[[#This Row],[HRA]],Employee_Data[[#This Row],[MA]],Employee_Data[[#This Row],[TA]])</f>
        <v>7788.0154166666662</v>
      </c>
      <c r="R1025" s="4">
        <f>Employee_Data[[#This Row],[Basic Salary]]*12.5%</f>
        <v>807.88541666666663</v>
      </c>
      <c r="S1025" s="2">
        <f>Employee_Data[[#This Row],[Annual Salary]]/12</f>
        <v>6463.083333333333</v>
      </c>
    </row>
    <row r="1026" spans="1:19" x14ac:dyDescent="0.3">
      <c r="A1026" t="s">
        <v>1895</v>
      </c>
      <c r="C1026" t="s">
        <v>54</v>
      </c>
      <c r="D1026" t="s">
        <v>30</v>
      </c>
      <c r="E1026" t="s">
        <v>36</v>
      </c>
      <c r="F1026" t="s">
        <v>42</v>
      </c>
      <c r="G1026" t="s">
        <v>24</v>
      </c>
      <c r="H1026">
        <v>59</v>
      </c>
      <c r="I1026" s="1">
        <v>44245</v>
      </c>
      <c r="J1026" s="2">
        <v>99760</v>
      </c>
      <c r="K1026" s="3">
        <v>0</v>
      </c>
      <c r="L1026" t="s">
        <v>37</v>
      </c>
      <c r="M1026" t="s">
        <v>57</v>
      </c>
      <c r="N1026" s="2">
        <f>Employee_Data[[#This Row],[Basic Salary]]*10%</f>
        <v>831.33333333333348</v>
      </c>
      <c r="O1026" s="4">
        <f>Employee_Data[[#This Row],[Basic Salary]]*7.5%</f>
        <v>623.5</v>
      </c>
      <c r="P1026" s="2">
        <f>Employee_Data[[#This Row],[Basic Salary]]*3%</f>
        <v>249.4</v>
      </c>
      <c r="Q1026" s="2">
        <f>SUM(Employee_Data[[#This Row],[Basic Salary]],Employee_Data[[#This Row],[HRA]],Employee_Data[[#This Row],[MA]],Employee_Data[[#This Row],[TA]])</f>
        <v>10017.566666666668</v>
      </c>
      <c r="R1026" s="4">
        <f>Employee_Data[[#This Row],[Basic Salary]]*12.5%</f>
        <v>1039.1666666666667</v>
      </c>
      <c r="S1026" s="2">
        <f>Employee_Data[[#This Row],[Annual Salary]]/12</f>
        <v>8313.3333333333339</v>
      </c>
    </row>
    <row r="1027" spans="1:19" x14ac:dyDescent="0.3">
      <c r="A1027" t="s">
        <v>1897</v>
      </c>
      <c r="B1027" t="s">
        <v>1898</v>
      </c>
      <c r="C1027" t="s">
        <v>54</v>
      </c>
      <c r="D1027" t="s">
        <v>80</v>
      </c>
      <c r="E1027" t="s">
        <v>56</v>
      </c>
      <c r="F1027" t="s">
        <v>23</v>
      </c>
      <c r="G1027" t="s">
        <v>24</v>
      </c>
      <c r="H1027">
        <v>50</v>
      </c>
      <c r="I1027" s="1">
        <v>35316</v>
      </c>
      <c r="J1027" s="2">
        <v>96297</v>
      </c>
      <c r="K1027" s="3">
        <v>0</v>
      </c>
      <c r="L1027" t="s">
        <v>25</v>
      </c>
      <c r="M1027" t="s">
        <v>70</v>
      </c>
      <c r="N1027" s="2">
        <f>Employee_Data[[#This Row],[Basic Salary]]*10%</f>
        <v>802.47500000000002</v>
      </c>
      <c r="O1027" s="4">
        <f>Employee_Data[[#This Row],[Basic Salary]]*7.5%</f>
        <v>601.85624999999993</v>
      </c>
      <c r="P1027" s="2">
        <f>Employee_Data[[#This Row],[Basic Salary]]*3%</f>
        <v>240.74249999999998</v>
      </c>
      <c r="Q1027" s="2">
        <f>SUM(Employee_Data[[#This Row],[Basic Salary]],Employee_Data[[#This Row],[HRA]],Employee_Data[[#This Row],[MA]],Employee_Data[[#This Row],[TA]])</f>
        <v>9669.8237500000014</v>
      </c>
      <c r="R1027" s="4">
        <f>Employee_Data[[#This Row],[Basic Salary]]*12.5%</f>
        <v>1003.09375</v>
      </c>
      <c r="S1027" s="2">
        <f>Employee_Data[[#This Row],[Annual Salary]]/12</f>
        <v>8024.75</v>
      </c>
    </row>
    <row r="1028" spans="1:19" x14ac:dyDescent="0.3">
      <c r="A1028" t="s">
        <v>1899</v>
      </c>
      <c r="B1028" t="s">
        <v>1900</v>
      </c>
      <c r="C1028" t="s">
        <v>159</v>
      </c>
      <c r="D1028" t="s">
        <v>4</v>
      </c>
      <c r="E1028" t="s">
        <v>56</v>
      </c>
      <c r="F1028" t="s">
        <v>23</v>
      </c>
      <c r="G1028" t="s">
        <v>24</v>
      </c>
      <c r="H1028">
        <v>48</v>
      </c>
      <c r="I1028" s="1">
        <v>40539</v>
      </c>
      <c r="J1028" s="2">
        <v>53593</v>
      </c>
      <c r="K1028" s="3">
        <v>0</v>
      </c>
      <c r="L1028" t="s">
        <v>37</v>
      </c>
      <c r="M1028" t="s">
        <v>62</v>
      </c>
      <c r="N1028" s="2">
        <f>Employee_Data[[#This Row],[Basic Salary]]*10%</f>
        <v>446.60833333333335</v>
      </c>
      <c r="O1028" s="4">
        <f>Employee_Data[[#This Row],[Basic Salary]]*7.5%</f>
        <v>334.95624999999995</v>
      </c>
      <c r="P1028" s="2">
        <f>Employee_Data[[#This Row],[Basic Salary]]*3%</f>
        <v>133.98249999999999</v>
      </c>
      <c r="Q1028" s="2">
        <f>SUM(Employee_Data[[#This Row],[Basic Salary]],Employee_Data[[#This Row],[HRA]],Employee_Data[[#This Row],[MA]],Employee_Data[[#This Row],[TA]])</f>
        <v>5381.6304166666669</v>
      </c>
      <c r="R1028" s="4">
        <f>Employee_Data[[#This Row],[Basic Salary]]*12.5%</f>
        <v>558.26041666666663</v>
      </c>
      <c r="S1028" s="2">
        <f>Employee_Data[[#This Row],[Annual Salary]]/12</f>
        <v>4466.083333333333</v>
      </c>
    </row>
    <row r="1029" spans="1:19" x14ac:dyDescent="0.3">
      <c r="A1029" t="s">
        <v>1901</v>
      </c>
      <c r="B1029" t="s">
        <v>1902</v>
      </c>
      <c r="C1029" t="s">
        <v>47</v>
      </c>
      <c r="D1029" t="s">
        <v>80</v>
      </c>
      <c r="E1029" t="s">
        <v>22</v>
      </c>
      <c r="F1029" t="s">
        <v>42</v>
      </c>
      <c r="G1029" t="s">
        <v>43</v>
      </c>
      <c r="H1029">
        <v>44</v>
      </c>
      <c r="I1029" s="1">
        <v>43162</v>
      </c>
      <c r="J1029" s="2">
        <v>167660</v>
      </c>
      <c r="K1029" s="3">
        <v>0.28999999999999998</v>
      </c>
      <c r="L1029" t="s">
        <v>137</v>
      </c>
      <c r="M1029" t="s">
        <v>183</v>
      </c>
      <c r="N1029" s="2">
        <f>Employee_Data[[#This Row],[Basic Salary]]*10%</f>
        <v>1397.1666666666667</v>
      </c>
      <c r="O1029" s="4">
        <f>Employee_Data[[#This Row],[Basic Salary]]*7.5%</f>
        <v>1047.875</v>
      </c>
      <c r="P1029" s="2">
        <f>Employee_Data[[#This Row],[Basic Salary]]*3%</f>
        <v>419.15</v>
      </c>
      <c r="Q1029" s="2">
        <f>SUM(Employee_Data[[#This Row],[Basic Salary]],Employee_Data[[#This Row],[HRA]],Employee_Data[[#This Row],[MA]],Employee_Data[[#This Row],[TA]])</f>
        <v>16835.858333333334</v>
      </c>
      <c r="R1029" s="4">
        <f>Employee_Data[[#This Row],[Basic Salary]]*12.5%</f>
        <v>1746.4583333333333</v>
      </c>
      <c r="S1029" s="2">
        <f>Employee_Data[[#This Row],[Annual Salary]]/12</f>
        <v>13971.666666666666</v>
      </c>
    </row>
    <row r="1030" spans="1:19" x14ac:dyDescent="0.3">
      <c r="A1030" t="s">
        <v>1909</v>
      </c>
      <c r="B1030" t="s">
        <v>2027</v>
      </c>
      <c r="D1030" t="s">
        <v>80</v>
      </c>
      <c r="E1030" t="s">
        <v>36</v>
      </c>
      <c r="F1030" t="s">
        <v>23</v>
      </c>
      <c r="H1030">
        <v>31</v>
      </c>
      <c r="I1030" s="1">
        <v>44329</v>
      </c>
      <c r="J1030" s="2">
        <v>234203</v>
      </c>
      <c r="K1030" s="3">
        <v>0.36</v>
      </c>
      <c r="L1030" t="s">
        <v>25</v>
      </c>
      <c r="M1030" t="s">
        <v>44</v>
      </c>
      <c r="N1030" s="2">
        <f>Employee_Data[[#This Row],[Basic Salary]]*10%</f>
        <v>1951.6916666666668</v>
      </c>
      <c r="O1030" s="4">
        <f>Employee_Data[[#This Row],[Basic Salary]]*7.5%</f>
        <v>1463.76875</v>
      </c>
      <c r="P1030" s="2">
        <f>Employee_Data[[#This Row],[Basic Salary]]*3%</f>
        <v>585.50750000000005</v>
      </c>
      <c r="Q1030" s="2">
        <f>SUM(Employee_Data[[#This Row],[Basic Salary]],Employee_Data[[#This Row],[HRA]],Employee_Data[[#This Row],[MA]],Employee_Data[[#This Row],[TA]])</f>
        <v>23517.884583333333</v>
      </c>
      <c r="R1030" s="4">
        <f>Employee_Data[[#This Row],[Basic Salary]]*12.5%</f>
        <v>2439.6145833333335</v>
      </c>
      <c r="S1030" s="2">
        <f>Employee_Data[[#This Row],[Annual Salary]]/12</f>
        <v>19516.916666666668</v>
      </c>
    </row>
    <row r="1031" spans="1:19" x14ac:dyDescent="0.3">
      <c r="A1031" t="s">
        <v>1910</v>
      </c>
      <c r="B1031" t="s">
        <v>2028</v>
      </c>
      <c r="C1031" t="s">
        <v>83</v>
      </c>
      <c r="D1031" t="s">
        <v>80</v>
      </c>
      <c r="E1031" t="s">
        <v>31</v>
      </c>
      <c r="F1031" t="s">
        <v>23</v>
      </c>
      <c r="H1031">
        <v>48</v>
      </c>
      <c r="I1031" s="1">
        <v>43658</v>
      </c>
      <c r="J1031" s="2">
        <v>121884</v>
      </c>
      <c r="K1031" s="3">
        <v>0.12</v>
      </c>
      <c r="L1031" t="s">
        <v>25</v>
      </c>
      <c r="M1031" t="s">
        <v>48</v>
      </c>
      <c r="N1031" s="2">
        <f>Employee_Data[[#This Row],[Basic Salary]]*10%</f>
        <v>1015.7</v>
      </c>
      <c r="O1031" s="4">
        <f>Employee_Data[[#This Row],[Basic Salary]]*7.5%</f>
        <v>761.77499999999998</v>
      </c>
      <c r="P1031" s="2">
        <f>Employee_Data[[#This Row],[Basic Salary]]*3%</f>
        <v>304.70999999999998</v>
      </c>
      <c r="Q1031" s="2">
        <f>SUM(Employee_Data[[#This Row],[Basic Salary]],Employee_Data[[#This Row],[HRA]],Employee_Data[[#This Row],[MA]],Employee_Data[[#This Row],[TA]])</f>
        <v>12239.184999999999</v>
      </c>
      <c r="R1031" s="4">
        <f>Employee_Data[[#This Row],[Basic Salary]]*12.5%</f>
        <v>1269.625</v>
      </c>
      <c r="S1031" s="2">
        <f>Employee_Data[[#This Row],[Annual Salary]]/12</f>
        <v>10157</v>
      </c>
    </row>
    <row r="1032" spans="1:19" x14ac:dyDescent="0.3">
      <c r="A1032" t="s">
        <v>1911</v>
      </c>
      <c r="B1032" t="s">
        <v>2029</v>
      </c>
      <c r="C1032" t="s">
        <v>89</v>
      </c>
      <c r="D1032" t="s">
        <v>80</v>
      </c>
      <c r="E1032" t="s">
        <v>36</v>
      </c>
      <c r="F1032" t="s">
        <v>23</v>
      </c>
      <c r="G1032" t="s">
        <v>24</v>
      </c>
      <c r="H1032">
        <v>61</v>
      </c>
      <c r="I1032" s="1">
        <v>41749</v>
      </c>
      <c r="J1032" s="2">
        <v>209680</v>
      </c>
      <c r="K1032" s="3">
        <v>0.34</v>
      </c>
      <c r="L1032" t="s">
        <v>37</v>
      </c>
      <c r="M1032" t="s">
        <v>38</v>
      </c>
      <c r="N1032" s="2">
        <f>Employee_Data[[#This Row],[Basic Salary]]*10%</f>
        <v>1747.3333333333333</v>
      </c>
      <c r="O1032" s="4">
        <f>Employee_Data[[#This Row],[Basic Salary]]*7.5%</f>
        <v>1310.4999999999998</v>
      </c>
      <c r="P1032" s="2">
        <f>Employee_Data[[#This Row],[Basic Salary]]*3%</f>
        <v>524.19999999999993</v>
      </c>
      <c r="Q1032" s="2">
        <f>SUM(Employee_Data[[#This Row],[Basic Salary]],Employee_Data[[#This Row],[HRA]],Employee_Data[[#This Row],[MA]],Employee_Data[[#This Row],[TA]])</f>
        <v>21055.366666666665</v>
      </c>
      <c r="R1032" s="4">
        <f>Employee_Data[[#This Row],[Basic Salary]]*12.5%</f>
        <v>2184.1666666666665</v>
      </c>
      <c r="S1032" s="2">
        <f>Employee_Data[[#This Row],[Annual Salary]]/12</f>
        <v>17473.333333333332</v>
      </c>
    </row>
    <row r="1033" spans="1:19" x14ac:dyDescent="0.3">
      <c r="A1033" t="s">
        <v>1912</v>
      </c>
      <c r="B1033" t="s">
        <v>2030</v>
      </c>
      <c r="C1033" t="s">
        <v>89</v>
      </c>
      <c r="D1033" t="s">
        <v>4</v>
      </c>
      <c r="F1033" t="s">
        <v>42</v>
      </c>
      <c r="G1033" t="s">
        <v>66</v>
      </c>
      <c r="H1033">
        <v>42</v>
      </c>
      <c r="I1033" s="1">
        <v>40733</v>
      </c>
      <c r="J1033" s="2">
        <v>240940</v>
      </c>
      <c r="K1033" s="3">
        <v>0.34</v>
      </c>
      <c r="L1033" t="s">
        <v>25</v>
      </c>
      <c r="M1033" t="s">
        <v>51</v>
      </c>
      <c r="N1033" s="2">
        <f>Employee_Data[[#This Row],[Basic Salary]]*10%</f>
        <v>2007.8333333333333</v>
      </c>
      <c r="O1033" s="4">
        <f>Employee_Data[[#This Row],[Basic Salary]]*7.5%</f>
        <v>1505.8749999999998</v>
      </c>
      <c r="P1033" s="2">
        <f>Employee_Data[[#This Row],[Basic Salary]]*3%</f>
        <v>602.34999999999991</v>
      </c>
      <c r="Q1033" s="2">
        <f>SUM(Employee_Data[[#This Row],[Basic Salary]],Employee_Data[[#This Row],[HRA]],Employee_Data[[#This Row],[MA]],Employee_Data[[#This Row],[TA]])</f>
        <v>24194.391666666663</v>
      </c>
      <c r="R1033" s="4">
        <f>Employee_Data[[#This Row],[Basic Salary]]*12.5%</f>
        <v>2509.7916666666665</v>
      </c>
      <c r="S1033" s="2">
        <f>Employee_Data[[#This Row],[Annual Salary]]/12</f>
        <v>20078.333333333332</v>
      </c>
    </row>
    <row r="1034" spans="1:19" x14ac:dyDescent="0.3">
      <c r="A1034" t="s">
        <v>1913</v>
      </c>
      <c r="B1034" t="s">
        <v>2031</v>
      </c>
      <c r="C1034" t="s">
        <v>35</v>
      </c>
      <c r="D1034" t="s">
        <v>4</v>
      </c>
      <c r="E1034" t="s">
        <v>22</v>
      </c>
      <c r="F1034" t="s">
        <v>42</v>
      </c>
      <c r="G1034" t="s">
        <v>66</v>
      </c>
      <c r="H1034">
        <v>50</v>
      </c>
      <c r="I1034" s="1">
        <v>41624</v>
      </c>
      <c r="J1034" s="2">
        <v>63884</v>
      </c>
      <c r="K1034" s="3">
        <v>0</v>
      </c>
      <c r="L1034" t="s">
        <v>25</v>
      </c>
      <c r="M1034" t="s">
        <v>70</v>
      </c>
      <c r="N1034" s="2">
        <f>Employee_Data[[#This Row],[Basic Salary]]*10%</f>
        <v>532.36666666666667</v>
      </c>
      <c r="O1034" s="4">
        <f>Employee_Data[[#This Row],[Basic Salary]]*7.5%</f>
        <v>399.27500000000003</v>
      </c>
      <c r="P1034" s="2">
        <f>Employee_Data[[#This Row],[Basic Salary]]*3%</f>
        <v>159.71</v>
      </c>
      <c r="Q1034" s="2">
        <f>SUM(Employee_Data[[#This Row],[Basic Salary]],Employee_Data[[#This Row],[HRA]],Employee_Data[[#This Row],[MA]],Employee_Data[[#This Row],[TA]])</f>
        <v>6415.0183333333334</v>
      </c>
      <c r="R1034" s="4">
        <f>Employee_Data[[#This Row],[Basic Salary]]*12.5%</f>
        <v>665.45833333333337</v>
      </c>
      <c r="S1034" s="2">
        <f>Employee_Data[[#This Row],[Annual Salary]]/12</f>
        <v>5323.666666666667</v>
      </c>
    </row>
    <row r="1035" spans="1:19" x14ac:dyDescent="0.3">
      <c r="A1035" t="s">
        <v>1914</v>
      </c>
      <c r="B1035" t="s">
        <v>2032</v>
      </c>
      <c r="C1035" t="s">
        <v>164</v>
      </c>
      <c r="D1035" t="s">
        <v>4</v>
      </c>
      <c r="E1035" t="s">
        <v>56</v>
      </c>
      <c r="F1035" t="s">
        <v>42</v>
      </c>
      <c r="G1035" t="s">
        <v>66</v>
      </c>
      <c r="H1035">
        <v>46</v>
      </c>
      <c r="I1035" s="1">
        <v>40988</v>
      </c>
      <c r="K1035" s="3">
        <v>0</v>
      </c>
      <c r="L1035" t="s">
        <v>25</v>
      </c>
      <c r="M1035" t="s">
        <v>51</v>
      </c>
      <c r="N1035" s="2">
        <f>Employee_Data[[#This Row],[Basic Salary]]*10%</f>
        <v>0</v>
      </c>
      <c r="O1035" s="4">
        <f>Employee_Data[[#This Row],[Basic Salary]]*7.5%</f>
        <v>0</v>
      </c>
      <c r="P1035" s="2">
        <f>Employee_Data[[#This Row],[Basic Salary]]*3%</f>
        <v>0</v>
      </c>
      <c r="Q1035" s="2">
        <f>SUM(Employee_Data[[#This Row],[Basic Salary]],Employee_Data[[#This Row],[HRA]],Employee_Data[[#This Row],[MA]],Employee_Data[[#This Row],[TA]])</f>
        <v>0</v>
      </c>
      <c r="R1035" s="4">
        <f>Employee_Data[[#This Row],[Basic Salary]]*12.5%</f>
        <v>0</v>
      </c>
      <c r="S1035" s="2">
        <f>Employee_Data[[#This Row],[Annual Salary]]/12</f>
        <v>0</v>
      </c>
    </row>
    <row r="1036" spans="1:19" x14ac:dyDescent="0.3">
      <c r="A1036" t="s">
        <v>1915</v>
      </c>
      <c r="B1036" t="s">
        <v>1916</v>
      </c>
      <c r="C1036" t="s">
        <v>94</v>
      </c>
      <c r="E1036" t="s">
        <v>56</v>
      </c>
      <c r="F1036" t="s">
        <v>42</v>
      </c>
      <c r="G1036" t="s">
        <v>43</v>
      </c>
      <c r="H1036">
        <v>50</v>
      </c>
      <c r="I1036" s="1">
        <v>39398</v>
      </c>
      <c r="J1036" s="2">
        <v>67756</v>
      </c>
      <c r="K1036" s="3">
        <v>0</v>
      </c>
      <c r="L1036" t="s">
        <v>25</v>
      </c>
      <c r="M1036" t="s">
        <v>32</v>
      </c>
      <c r="N1036" s="2">
        <f>Employee_Data[[#This Row],[Basic Salary]]*10%</f>
        <v>564.63333333333333</v>
      </c>
      <c r="O1036" s="4">
        <f>Employee_Data[[#This Row],[Basic Salary]]*7.5%</f>
        <v>423.47499999999997</v>
      </c>
      <c r="P1036" s="2">
        <f>Employee_Data[[#This Row],[Basic Salary]]*3%</f>
        <v>169.39</v>
      </c>
      <c r="Q1036" s="2">
        <f>SUM(Employee_Data[[#This Row],[Basic Salary]],Employee_Data[[#This Row],[HRA]],Employee_Data[[#This Row],[MA]],Employee_Data[[#This Row],[TA]])</f>
        <v>6803.8316666666669</v>
      </c>
      <c r="R1036" s="4">
        <f>Employee_Data[[#This Row],[Basic Salary]]*12.5%</f>
        <v>705.79166666666663</v>
      </c>
      <c r="S1036" s="2">
        <f>Employee_Data[[#This Row],[Annual Salary]]/12</f>
        <v>5646.333333333333</v>
      </c>
    </row>
    <row r="1037" spans="1:19" x14ac:dyDescent="0.3">
      <c r="A1037" t="s">
        <v>1917</v>
      </c>
      <c r="B1037" t="s">
        <v>1918</v>
      </c>
      <c r="C1037" t="s">
        <v>47</v>
      </c>
      <c r="F1037" t="s">
        <v>42</v>
      </c>
      <c r="G1037" t="s">
        <v>43</v>
      </c>
      <c r="H1037">
        <v>62</v>
      </c>
      <c r="I1037" s="1">
        <v>40931</v>
      </c>
      <c r="J1037" s="2">
        <v>180256</v>
      </c>
      <c r="K1037" s="3">
        <v>0.2</v>
      </c>
      <c r="M1037" t="s">
        <v>51</v>
      </c>
      <c r="N1037" s="2">
        <f>Employee_Data[[#This Row],[Basic Salary]]*10%</f>
        <v>1502.1333333333334</v>
      </c>
      <c r="O1037" s="4">
        <f>Employee_Data[[#This Row],[Basic Salary]]*7.5%</f>
        <v>1126.5999999999999</v>
      </c>
      <c r="P1037" s="2">
        <f>Employee_Data[[#This Row],[Basic Salary]]*3%</f>
        <v>450.64</v>
      </c>
      <c r="Q1037" s="2">
        <f>SUM(Employee_Data[[#This Row],[Basic Salary]],Employee_Data[[#This Row],[HRA]],Employee_Data[[#This Row],[MA]],Employee_Data[[#This Row],[TA]])</f>
        <v>18100.706666666665</v>
      </c>
      <c r="R1037" s="4">
        <f>Employee_Data[[#This Row],[Basic Salary]]*12.5%</f>
        <v>1877.6666666666667</v>
      </c>
      <c r="S1037" s="2">
        <f>Employee_Data[[#This Row],[Annual Salary]]/12</f>
        <v>15021.333333333334</v>
      </c>
    </row>
    <row r="1038" spans="1:19" x14ac:dyDescent="0.3">
      <c r="A1038" t="s">
        <v>1919</v>
      </c>
      <c r="B1038" t="s">
        <v>1920</v>
      </c>
      <c r="C1038" t="s">
        <v>47</v>
      </c>
      <c r="D1038" t="s">
        <v>21</v>
      </c>
      <c r="F1038" t="s">
        <v>42</v>
      </c>
      <c r="G1038" t="s">
        <v>66</v>
      </c>
      <c r="H1038">
        <v>45</v>
      </c>
      <c r="I1038" s="1">
        <v>43538</v>
      </c>
      <c r="J1038" s="2">
        <v>183165</v>
      </c>
      <c r="K1038" s="3">
        <v>0.18</v>
      </c>
      <c r="M1038" t="s">
        <v>70</v>
      </c>
      <c r="N1038" s="2">
        <f>Employee_Data[[#This Row],[Basic Salary]]*10%</f>
        <v>1526.375</v>
      </c>
      <c r="O1038" s="4">
        <f>Employee_Data[[#This Row],[Basic Salary]]*7.5%</f>
        <v>1144.78125</v>
      </c>
      <c r="P1038" s="2">
        <f>Employee_Data[[#This Row],[Basic Salary]]*3%</f>
        <v>457.91249999999997</v>
      </c>
      <c r="Q1038" s="2">
        <f>SUM(Employee_Data[[#This Row],[Basic Salary]],Employee_Data[[#This Row],[HRA]],Employee_Data[[#This Row],[MA]],Employee_Data[[#This Row],[TA]])</f>
        <v>18392.818749999999</v>
      </c>
      <c r="R1038" s="4">
        <f>Employee_Data[[#This Row],[Basic Salary]]*12.5%</f>
        <v>1907.96875</v>
      </c>
      <c r="S1038" s="2">
        <f>Employee_Data[[#This Row],[Annual Salary]]/12</f>
        <v>15263.75</v>
      </c>
    </row>
    <row r="1039" spans="1:19" x14ac:dyDescent="0.3">
      <c r="A1039" t="s">
        <v>1921</v>
      </c>
      <c r="B1039" t="s">
        <v>1922</v>
      </c>
      <c r="D1039" t="s">
        <v>55</v>
      </c>
      <c r="F1039" t="s">
        <v>23</v>
      </c>
      <c r="G1039" t="s">
        <v>43</v>
      </c>
      <c r="H1039">
        <v>34</v>
      </c>
      <c r="I1039" s="1">
        <v>40946</v>
      </c>
      <c r="J1039" s="2">
        <v>195194</v>
      </c>
      <c r="K1039" s="3">
        <v>0.23</v>
      </c>
      <c r="M1039" t="s">
        <v>32</v>
      </c>
      <c r="N1039" s="2">
        <f>Employee_Data[[#This Row],[Basic Salary]]*10%</f>
        <v>1626.6166666666668</v>
      </c>
      <c r="O1039" s="4">
        <f>Employee_Data[[#This Row],[Basic Salary]]*7.5%</f>
        <v>1219.9624999999999</v>
      </c>
      <c r="P1039" s="2">
        <f>Employee_Data[[#This Row],[Basic Salary]]*3%</f>
        <v>487.98499999999996</v>
      </c>
      <c r="Q1039" s="2">
        <f>SUM(Employee_Data[[#This Row],[Basic Salary]],Employee_Data[[#This Row],[HRA]],Employee_Data[[#This Row],[MA]],Employee_Data[[#This Row],[TA]])</f>
        <v>19600.730833333335</v>
      </c>
      <c r="R1039" s="4">
        <f>Employee_Data[[#This Row],[Basic Salary]]*12.5%</f>
        <v>2033.2708333333333</v>
      </c>
      <c r="S1039" s="2">
        <f>Employee_Data[[#This Row],[Annual Salary]]/12</f>
        <v>16266.166666666666</v>
      </c>
    </row>
    <row r="1040" spans="1:19" x14ac:dyDescent="0.3">
      <c r="A1040" t="s">
        <v>1812</v>
      </c>
      <c r="B1040" t="s">
        <v>1813</v>
      </c>
      <c r="D1040" t="s">
        <v>80</v>
      </c>
      <c r="E1040" t="s">
        <v>22</v>
      </c>
      <c r="F1040" t="s">
        <v>42</v>
      </c>
      <c r="G1040" t="s">
        <v>66</v>
      </c>
      <c r="H1040">
        <v>35</v>
      </c>
      <c r="I1040" s="1">
        <v>41067</v>
      </c>
      <c r="J1040" s="2">
        <v>161453</v>
      </c>
      <c r="M1040" t="s">
        <v>51</v>
      </c>
      <c r="N1040" s="2">
        <f>Employee_Data[[#This Row],[Basic Salary]]*10%</f>
        <v>1345.4416666666666</v>
      </c>
      <c r="O1040" s="4">
        <f>Employee_Data[[#This Row],[Basic Salary]]*7.5%</f>
        <v>1009.08125</v>
      </c>
      <c r="P1040" s="2">
        <f>Employee_Data[[#This Row],[Basic Salary]]*3%</f>
        <v>403.63249999999999</v>
      </c>
      <c r="Q1040" s="2">
        <f>SUM(Employee_Data[[#This Row],[Basic Salary]],Employee_Data[[#This Row],[HRA]],Employee_Data[[#This Row],[MA]],Employee_Data[[#This Row],[TA]])</f>
        <v>16212.572083333333</v>
      </c>
      <c r="R1040" s="4">
        <f>Employee_Data[[#This Row],[Basic Salary]]*12.5%</f>
        <v>1681.8020833333333</v>
      </c>
      <c r="S1040" s="2">
        <f>Employee_Data[[#This Row],[Annual Salary]]/12</f>
        <v>13454.416666666666</v>
      </c>
    </row>
    <row r="1041" spans="1:19" x14ac:dyDescent="0.3">
      <c r="A1041" t="s">
        <v>1814</v>
      </c>
      <c r="B1041" t="s">
        <v>1815</v>
      </c>
      <c r="C1041" t="s">
        <v>60</v>
      </c>
      <c r="D1041" t="s">
        <v>80</v>
      </c>
      <c r="E1041" t="s">
        <v>22</v>
      </c>
      <c r="F1041" t="s">
        <v>23</v>
      </c>
      <c r="G1041" t="s">
        <v>43</v>
      </c>
      <c r="H1041">
        <v>31</v>
      </c>
      <c r="I1041" s="1">
        <v>43970</v>
      </c>
      <c r="J1041" s="2">
        <v>64234</v>
      </c>
      <c r="K1041" s="3">
        <v>0</v>
      </c>
      <c r="L1041" t="s">
        <v>25</v>
      </c>
      <c r="M1041" t="s">
        <v>44</v>
      </c>
      <c r="N1041" s="2">
        <f>Employee_Data[[#This Row],[Basic Salary]]*10%</f>
        <v>535.2833333333333</v>
      </c>
      <c r="O1041" s="4">
        <f>Employee_Data[[#This Row],[Basic Salary]]*7.5%</f>
        <v>401.46249999999998</v>
      </c>
      <c r="P1041" s="2">
        <f>Employee_Data[[#This Row],[Basic Salary]]*3%</f>
        <v>160.58499999999998</v>
      </c>
      <c r="Q1041" s="2">
        <f>SUM(Employee_Data[[#This Row],[Basic Salary]],Employee_Data[[#This Row],[HRA]],Employee_Data[[#This Row],[MA]],Employee_Data[[#This Row],[TA]])</f>
        <v>6450.1641666666665</v>
      </c>
      <c r="R1041" s="4">
        <f>Employee_Data[[#This Row],[Basic Salary]]*12.5%</f>
        <v>669.10416666666663</v>
      </c>
      <c r="S1041" s="2">
        <f>Employee_Data[[#This Row],[Annual Salary]]/12</f>
        <v>5352.833333333333</v>
      </c>
    </row>
    <row r="1042" spans="1:19" x14ac:dyDescent="0.3">
      <c r="A1042" t="s">
        <v>1816</v>
      </c>
      <c r="B1042" t="s">
        <v>1817</v>
      </c>
      <c r="C1042" t="s">
        <v>69</v>
      </c>
      <c r="D1042" t="s">
        <v>4</v>
      </c>
      <c r="E1042" t="s">
        <v>56</v>
      </c>
      <c r="F1042" t="s">
        <v>23</v>
      </c>
      <c r="G1042" t="s">
        <v>24</v>
      </c>
      <c r="H1042">
        <v>55</v>
      </c>
      <c r="I1042" s="1">
        <v>34527</v>
      </c>
      <c r="J1042" s="2">
        <v>103726</v>
      </c>
      <c r="K1042" s="3">
        <v>0.08</v>
      </c>
      <c r="L1042" t="s">
        <v>37</v>
      </c>
      <c r="M1042" t="s">
        <v>38</v>
      </c>
      <c r="N1042" s="2">
        <f>Employee_Data[[#This Row],[Basic Salary]]*10%</f>
        <v>864.38333333333344</v>
      </c>
      <c r="O1042" s="4">
        <f>Employee_Data[[#This Row],[Basic Salary]]*7.5%</f>
        <v>648.28750000000002</v>
      </c>
      <c r="P1042" s="2">
        <f>Employee_Data[[#This Row],[Basic Salary]]*3%</f>
        <v>259.315</v>
      </c>
      <c r="Q1042" s="2">
        <f>SUM(Employee_Data[[#This Row],[Basic Salary]],Employee_Data[[#This Row],[HRA]],Employee_Data[[#This Row],[MA]],Employee_Data[[#This Row],[TA]])</f>
        <v>10415.819166666668</v>
      </c>
      <c r="R1042" s="4">
        <f>Employee_Data[[#This Row],[Basic Salary]]*12.5%</f>
        <v>1080.4791666666667</v>
      </c>
      <c r="S1042" s="2">
        <f>Employee_Data[[#This Row],[Annual Salary]]/12</f>
        <v>8643.8333333333339</v>
      </c>
    </row>
    <row r="1043" spans="1:19" x14ac:dyDescent="0.3">
      <c r="A1043" t="s">
        <v>1818</v>
      </c>
      <c r="B1043" t="s">
        <v>2033</v>
      </c>
      <c r="C1043" t="s">
        <v>198</v>
      </c>
      <c r="D1043" t="s">
        <v>21</v>
      </c>
      <c r="E1043" t="s">
        <v>36</v>
      </c>
      <c r="F1043" t="s">
        <v>23</v>
      </c>
      <c r="G1043" t="s">
        <v>24</v>
      </c>
      <c r="H1043">
        <v>46</v>
      </c>
      <c r="I1043" s="1">
        <v>36889</v>
      </c>
      <c r="J1043" s="2">
        <v>114260</v>
      </c>
      <c r="K1043" s="3">
        <v>0</v>
      </c>
      <c r="L1043" t="s">
        <v>37</v>
      </c>
      <c r="M1043" t="s">
        <v>62</v>
      </c>
      <c r="N1043" s="2">
        <f>Employee_Data[[#This Row],[Basic Salary]]*10%</f>
        <v>952.16666666666663</v>
      </c>
      <c r="O1043" s="4">
        <f>Employee_Data[[#This Row],[Basic Salary]]*7.5%</f>
        <v>714.12499999999989</v>
      </c>
      <c r="P1043" s="2">
        <f>Employee_Data[[#This Row],[Basic Salary]]*3%</f>
        <v>285.64999999999998</v>
      </c>
      <c r="Q1043" s="2">
        <f>SUM(Employee_Data[[#This Row],[Basic Salary]],Employee_Data[[#This Row],[HRA]],Employee_Data[[#This Row],[MA]],Employee_Data[[#This Row],[TA]])</f>
        <v>11473.608333333332</v>
      </c>
      <c r="R1043" s="4">
        <f>Employee_Data[[#This Row],[Basic Salary]]*12.5%</f>
        <v>1190.2083333333333</v>
      </c>
      <c r="S1043" s="2">
        <f>Employee_Data[[#This Row],[Annual Salary]]/12</f>
        <v>9521.6666666666661</v>
      </c>
    </row>
    <row r="1044" spans="1:19" x14ac:dyDescent="0.3">
      <c r="A1044" t="s">
        <v>1819</v>
      </c>
      <c r="B1044" t="s">
        <v>1820</v>
      </c>
      <c r="C1044" t="s">
        <v>20</v>
      </c>
      <c r="D1044" t="s">
        <v>21</v>
      </c>
      <c r="E1044" t="s">
        <v>31</v>
      </c>
      <c r="F1044" t="s">
        <v>23</v>
      </c>
      <c r="G1044" t="s">
        <v>43</v>
      </c>
      <c r="H1044">
        <v>36</v>
      </c>
      <c r="I1044" s="1">
        <v>41026</v>
      </c>
      <c r="J1044" s="2">
        <v>116168</v>
      </c>
      <c r="K1044" s="3">
        <v>0</v>
      </c>
      <c r="L1044" t="s">
        <v>25</v>
      </c>
      <c r="M1044" t="s">
        <v>48</v>
      </c>
      <c r="N1044" s="2">
        <f>Employee_Data[[#This Row],[Basic Salary]]*10%</f>
        <v>968.06666666666661</v>
      </c>
      <c r="O1044" s="4">
        <f>Employee_Data[[#This Row],[Basic Salary]]*7.5%</f>
        <v>726.05</v>
      </c>
      <c r="P1044" s="2">
        <f>Employee_Data[[#This Row],[Basic Salary]]*3%</f>
        <v>290.41999999999996</v>
      </c>
      <c r="Q1044" s="2">
        <f>SUM(Employee_Data[[#This Row],[Basic Salary]],Employee_Data[[#This Row],[HRA]],Employee_Data[[#This Row],[MA]],Employee_Data[[#This Row],[TA]])</f>
        <v>11665.203333333333</v>
      </c>
      <c r="R1044" s="4">
        <f>Employee_Data[[#This Row],[Basic Salary]]*12.5%</f>
        <v>1210.0833333333333</v>
      </c>
      <c r="S1044" s="2">
        <f>Employee_Data[[#This Row],[Annual Salary]]/12</f>
        <v>9680.6666666666661</v>
      </c>
    </row>
    <row r="1045" spans="1:19" x14ac:dyDescent="0.3">
      <c r="A1045" t="s">
        <v>1821</v>
      </c>
      <c r="B1045" t="s">
        <v>1822</v>
      </c>
      <c r="C1045" t="s">
        <v>83</v>
      </c>
      <c r="D1045" t="s">
        <v>30</v>
      </c>
      <c r="E1045" t="s">
        <v>36</v>
      </c>
      <c r="F1045" t="s">
        <v>23</v>
      </c>
      <c r="G1045" t="s">
        <v>24</v>
      </c>
      <c r="H1045">
        <v>27</v>
      </c>
      <c r="I1045" s="1">
        <v>44417</v>
      </c>
      <c r="J1045" s="2">
        <v>133267</v>
      </c>
      <c r="K1045" s="3">
        <v>0.12</v>
      </c>
      <c r="L1045" t="s">
        <v>25</v>
      </c>
      <c r="M1045" t="s">
        <v>51</v>
      </c>
      <c r="N1045" s="2">
        <f>Employee_Data[[#This Row],[Basic Salary]]*10%</f>
        <v>1110.5583333333334</v>
      </c>
      <c r="O1045" s="4">
        <f>Employee_Data[[#This Row],[Basic Salary]]*7.5%</f>
        <v>832.91875000000005</v>
      </c>
      <c r="P1045" s="2">
        <f>Employee_Data[[#This Row],[Basic Salary]]*3%</f>
        <v>333.16750000000002</v>
      </c>
      <c r="Q1045" s="2">
        <f>SUM(Employee_Data[[#This Row],[Basic Salary]],Employee_Data[[#This Row],[HRA]],Employee_Data[[#This Row],[MA]],Employee_Data[[#This Row],[TA]])</f>
        <v>13382.227916666667</v>
      </c>
      <c r="R1045" s="4">
        <f>Employee_Data[[#This Row],[Basic Salary]]*12.5%</f>
        <v>1388.1979166666667</v>
      </c>
      <c r="S1045" s="2">
        <f>Employee_Data[[#This Row],[Annual Salary]]/12</f>
        <v>11105.583333333334</v>
      </c>
    </row>
    <row r="1046" spans="1:19" x14ac:dyDescent="0.3">
      <c r="A1046" t="s">
        <v>603</v>
      </c>
      <c r="B1046" t="s">
        <v>604</v>
      </c>
      <c r="C1046" t="s">
        <v>89</v>
      </c>
      <c r="D1046" t="s">
        <v>55</v>
      </c>
      <c r="E1046" t="s">
        <v>31</v>
      </c>
      <c r="F1046" t="s">
        <v>23</v>
      </c>
      <c r="G1046" t="s">
        <v>24</v>
      </c>
      <c r="H1046">
        <v>50</v>
      </c>
      <c r="I1046" s="1">
        <v>35170</v>
      </c>
      <c r="K1046" s="3">
        <v>0.36</v>
      </c>
      <c r="L1046" t="s">
        <v>25</v>
      </c>
      <c r="M1046" t="s">
        <v>26</v>
      </c>
      <c r="N1046" s="2">
        <f>Employee_Data[[#This Row],[Basic Salary]]*10%</f>
        <v>0</v>
      </c>
      <c r="O1046" s="4">
        <f>Employee_Data[[#This Row],[Basic Salary]]*7.5%</f>
        <v>0</v>
      </c>
      <c r="P1046" s="2">
        <f>Employee_Data[[#This Row],[Basic Salary]]*3%</f>
        <v>0</v>
      </c>
      <c r="Q1046" s="2">
        <f>SUM(Employee_Data[[#This Row],[Basic Salary]],Employee_Data[[#This Row],[HRA]],Employee_Data[[#This Row],[MA]],Employee_Data[[#This Row],[TA]])</f>
        <v>0</v>
      </c>
      <c r="R1046" s="4">
        <f>Employee_Data[[#This Row],[Basic Salary]]*12.5%</f>
        <v>0</v>
      </c>
      <c r="S1046" s="2">
        <f>Employee_Data[[#This Row],[Annual Salary]]/12</f>
        <v>0</v>
      </c>
    </row>
    <row r="1047" spans="1:19" x14ac:dyDescent="0.3">
      <c r="A1047" t="s">
        <v>1064</v>
      </c>
      <c r="B1047" t="s">
        <v>1065</v>
      </c>
      <c r="C1047" t="s">
        <v>29</v>
      </c>
      <c r="D1047" t="s">
        <v>30</v>
      </c>
      <c r="E1047" t="s">
        <v>36</v>
      </c>
      <c r="F1047" t="s">
        <v>42</v>
      </c>
      <c r="G1047" t="s">
        <v>24</v>
      </c>
      <c r="H1047">
        <v>51</v>
      </c>
      <c r="I1047" s="1">
        <v>35997</v>
      </c>
      <c r="K1047" s="3">
        <v>0</v>
      </c>
      <c r="L1047" t="s">
        <v>37</v>
      </c>
      <c r="M1047" t="s">
        <v>38</v>
      </c>
      <c r="N1047" s="2">
        <f>Employee_Data[[#This Row],[Basic Salary]]*10%</f>
        <v>0</v>
      </c>
      <c r="O1047" s="4">
        <f>Employee_Data[[#This Row],[Basic Salary]]*7.5%</f>
        <v>0</v>
      </c>
      <c r="P1047" s="2">
        <f>Employee_Data[[#This Row],[Basic Salary]]*3%</f>
        <v>0</v>
      </c>
      <c r="Q1047" s="2">
        <f>SUM(Employee_Data[[#This Row],[Basic Salary]],Employee_Data[[#This Row],[HRA]],Employee_Data[[#This Row],[MA]],Employee_Data[[#This Row],[TA]])</f>
        <v>0</v>
      </c>
      <c r="R1047" s="4">
        <f>Employee_Data[[#This Row],[Basic Salary]]*12.5%</f>
        <v>0</v>
      </c>
      <c r="S1047" s="2">
        <f>Employee_Data[[#This Row],[Annual Salary]]/12</f>
        <v>0</v>
      </c>
    </row>
    <row r="1048" spans="1:19" x14ac:dyDescent="0.3">
      <c r="A1048" t="s">
        <v>1066</v>
      </c>
      <c r="B1048" t="s">
        <v>1067</v>
      </c>
      <c r="C1048" t="s">
        <v>29</v>
      </c>
      <c r="D1048" t="s">
        <v>61</v>
      </c>
      <c r="E1048" t="s">
        <v>56</v>
      </c>
      <c r="F1048" t="s">
        <v>42</v>
      </c>
      <c r="G1048" t="s">
        <v>43</v>
      </c>
      <c r="H1048">
        <v>56</v>
      </c>
      <c r="I1048" s="1">
        <v>43844</v>
      </c>
      <c r="K1048" s="3">
        <v>0</v>
      </c>
      <c r="L1048" t="s">
        <v>137</v>
      </c>
      <c r="M1048" t="s">
        <v>138</v>
      </c>
      <c r="N1048" s="2">
        <f>Employee_Data[[#This Row],[Basic Salary]]*10%</f>
        <v>0</v>
      </c>
      <c r="O1048" s="4">
        <f>Employee_Data[[#This Row],[Basic Salary]]*7.5%</f>
        <v>0</v>
      </c>
      <c r="P1048" s="2">
        <f>Employee_Data[[#This Row],[Basic Salary]]*3%</f>
        <v>0</v>
      </c>
      <c r="Q1048" s="2">
        <f>SUM(Employee_Data[[#This Row],[Basic Salary]],Employee_Data[[#This Row],[HRA]],Employee_Data[[#This Row],[MA]],Employee_Data[[#This Row],[TA]])</f>
        <v>0</v>
      </c>
      <c r="R1048" s="4">
        <f>Employee_Data[[#This Row],[Basic Salary]]*12.5%</f>
        <v>0</v>
      </c>
      <c r="S1048" s="2">
        <f>Employee_Data[[#This Row],[Annual Salary]]/12</f>
        <v>0</v>
      </c>
    </row>
    <row r="1049" spans="1:19" x14ac:dyDescent="0.3">
      <c r="A1049" t="s">
        <v>1068</v>
      </c>
      <c r="B1049" t="s">
        <v>1069</v>
      </c>
      <c r="C1049" t="s">
        <v>47</v>
      </c>
      <c r="D1049" t="s">
        <v>4</v>
      </c>
      <c r="E1049" t="s">
        <v>36</v>
      </c>
      <c r="F1049" t="s">
        <v>23</v>
      </c>
      <c r="G1049" t="s">
        <v>43</v>
      </c>
      <c r="H1049">
        <v>38</v>
      </c>
      <c r="I1049" s="1">
        <v>43382</v>
      </c>
      <c r="K1049" s="3">
        <v>0.3</v>
      </c>
      <c r="L1049" t="s">
        <v>25</v>
      </c>
      <c r="M1049" t="s">
        <v>32</v>
      </c>
      <c r="N1049" s="2">
        <f>Employee_Data[[#This Row],[Basic Salary]]*10%</f>
        <v>0</v>
      </c>
      <c r="O1049" s="4">
        <f>Employee_Data[[#This Row],[Basic Salary]]*7.5%</f>
        <v>0</v>
      </c>
      <c r="P1049" s="2">
        <f>Employee_Data[[#This Row],[Basic Salary]]*3%</f>
        <v>0</v>
      </c>
      <c r="Q1049" s="2">
        <f>SUM(Employee_Data[[#This Row],[Basic Salary]],Employee_Data[[#This Row],[HRA]],Employee_Data[[#This Row],[MA]],Employee_Data[[#This Row],[TA]])</f>
        <v>0</v>
      </c>
      <c r="R1049" s="4">
        <f>Employee_Data[[#This Row],[Basic Salary]]*12.5%</f>
        <v>0</v>
      </c>
      <c r="S1049" s="2">
        <f>Employee_Data[[#This Row],[Annual Salary]]/12</f>
        <v>0</v>
      </c>
    </row>
    <row r="1050" spans="1:19" x14ac:dyDescent="0.3">
      <c r="A1050" t="s">
        <v>1070</v>
      </c>
      <c r="B1050" t="s">
        <v>1071</v>
      </c>
      <c r="C1050" t="s">
        <v>69</v>
      </c>
      <c r="D1050" t="s">
        <v>4</v>
      </c>
      <c r="E1050" t="s">
        <v>31</v>
      </c>
      <c r="F1050" t="s">
        <v>42</v>
      </c>
      <c r="G1050" t="s">
        <v>66</v>
      </c>
      <c r="H1050">
        <v>41</v>
      </c>
      <c r="I1050" s="1">
        <v>39550</v>
      </c>
      <c r="K1050" s="3">
        <v>0.05</v>
      </c>
      <c r="L1050" t="s">
        <v>25</v>
      </c>
      <c r="M1050" t="s">
        <v>70</v>
      </c>
      <c r="N1050" s="2">
        <f>Employee_Data[[#This Row],[Basic Salary]]*10%</f>
        <v>0</v>
      </c>
      <c r="O1050" s="4">
        <f>Employee_Data[[#This Row],[Basic Salary]]*7.5%</f>
        <v>0</v>
      </c>
      <c r="P1050" s="2">
        <f>Employee_Data[[#This Row],[Basic Salary]]*3%</f>
        <v>0</v>
      </c>
      <c r="Q1050" s="2">
        <f>SUM(Employee_Data[[#This Row],[Basic Salary]],Employee_Data[[#This Row],[HRA]],Employee_Data[[#This Row],[MA]],Employee_Data[[#This Row],[TA]])</f>
        <v>0</v>
      </c>
      <c r="R1050" s="4">
        <f>Employee_Data[[#This Row],[Basic Salary]]*12.5%</f>
        <v>0</v>
      </c>
      <c r="S1050" s="2">
        <f>Employee_Data[[#This Row],[Annual Salary]]/12</f>
        <v>0</v>
      </c>
    </row>
    <row r="1051" spans="1:19" x14ac:dyDescent="0.3">
      <c r="A1051" t="s">
        <v>1072</v>
      </c>
      <c r="B1051" t="s">
        <v>1073</v>
      </c>
      <c r="C1051" t="s">
        <v>54</v>
      </c>
      <c r="D1051" t="s">
        <v>30</v>
      </c>
      <c r="E1051" t="s">
        <v>56</v>
      </c>
      <c r="F1051" t="s">
        <v>42</v>
      </c>
      <c r="G1051" t="s">
        <v>24</v>
      </c>
      <c r="H1051">
        <v>61</v>
      </c>
      <c r="I1051" s="1">
        <v>35562</v>
      </c>
      <c r="K1051" s="3">
        <v>0</v>
      </c>
      <c r="L1051" t="s">
        <v>37</v>
      </c>
      <c r="M1051" t="s">
        <v>111</v>
      </c>
      <c r="N1051" s="2">
        <f>Employee_Data[[#This Row],[Basic Salary]]*10%</f>
        <v>0</v>
      </c>
      <c r="O1051" s="4">
        <f>Employee_Data[[#This Row],[Basic Salary]]*7.5%</f>
        <v>0</v>
      </c>
      <c r="P1051" s="2">
        <f>Employee_Data[[#This Row],[Basic Salary]]*3%</f>
        <v>0</v>
      </c>
      <c r="Q1051" s="2">
        <f>SUM(Employee_Data[[#This Row],[Basic Salary]],Employee_Data[[#This Row],[HRA]],Employee_Data[[#This Row],[MA]],Employee_Data[[#This Row],[TA]])</f>
        <v>0</v>
      </c>
      <c r="R1051" s="4">
        <f>Employee_Data[[#This Row],[Basic Salary]]*12.5%</f>
        <v>0</v>
      </c>
      <c r="S1051" s="2">
        <f>Employee_Data[[#This Row],[Annual Salary]]/12</f>
        <v>0</v>
      </c>
    </row>
    <row r="1052" spans="1:19" x14ac:dyDescent="0.3">
      <c r="A1052" t="s">
        <v>1074</v>
      </c>
      <c r="B1052" t="s">
        <v>1075</v>
      </c>
      <c r="C1052" t="s">
        <v>29</v>
      </c>
      <c r="D1052" t="s">
        <v>30</v>
      </c>
      <c r="E1052" t="s">
        <v>31</v>
      </c>
      <c r="F1052" t="s">
        <v>23</v>
      </c>
      <c r="G1052" t="s">
        <v>24</v>
      </c>
      <c r="H1052">
        <v>33</v>
      </c>
      <c r="I1052" s="1">
        <v>44205</v>
      </c>
      <c r="K1052" s="3">
        <v>0</v>
      </c>
      <c r="L1052" t="s">
        <v>37</v>
      </c>
      <c r="M1052" t="s">
        <v>38</v>
      </c>
      <c r="N1052" s="2">
        <f>Employee_Data[[#This Row],[Basic Salary]]*10%</f>
        <v>0</v>
      </c>
      <c r="O1052" s="4">
        <f>Employee_Data[[#This Row],[Basic Salary]]*7.5%</f>
        <v>0</v>
      </c>
      <c r="P1052" s="2">
        <f>Employee_Data[[#This Row],[Basic Salary]]*3%</f>
        <v>0</v>
      </c>
      <c r="Q1052" s="2">
        <f>SUM(Employee_Data[[#This Row],[Basic Salary]],Employee_Data[[#This Row],[HRA]],Employee_Data[[#This Row],[MA]],Employee_Data[[#This Row],[TA]])</f>
        <v>0</v>
      </c>
      <c r="R1052" s="4">
        <f>Employee_Data[[#This Row],[Basic Salary]]*12.5%</f>
        <v>0</v>
      </c>
      <c r="S1052" s="2">
        <f>Employee_Data[[#This Row],[Annual Salary]]/12</f>
        <v>0</v>
      </c>
    </row>
    <row r="1053" spans="1:19" x14ac:dyDescent="0.3">
      <c r="A1053" t="s">
        <v>1076</v>
      </c>
      <c r="B1053" t="s">
        <v>1077</v>
      </c>
      <c r="C1053" t="s">
        <v>47</v>
      </c>
      <c r="D1053" t="s">
        <v>80</v>
      </c>
      <c r="E1053" t="s">
        <v>31</v>
      </c>
      <c r="F1053" t="s">
        <v>42</v>
      </c>
      <c r="G1053" t="s">
        <v>24</v>
      </c>
      <c r="H1053">
        <v>41</v>
      </c>
      <c r="I1053" s="1">
        <v>44444</v>
      </c>
      <c r="K1053" s="3">
        <v>0.23</v>
      </c>
      <c r="L1053" t="s">
        <v>37</v>
      </c>
      <c r="M1053" t="s">
        <v>62</v>
      </c>
      <c r="N1053" s="2">
        <f>Employee_Data[[#This Row],[Basic Salary]]*10%</f>
        <v>0</v>
      </c>
      <c r="O1053" s="4">
        <f>Employee_Data[[#This Row],[Basic Salary]]*7.5%</f>
        <v>0</v>
      </c>
      <c r="P1053" s="2">
        <f>Employee_Data[[#This Row],[Basic Salary]]*3%</f>
        <v>0</v>
      </c>
      <c r="Q1053" s="2">
        <f>SUM(Employee_Data[[#This Row],[Basic Salary]],Employee_Data[[#This Row],[HRA]],Employee_Data[[#This Row],[MA]],Employee_Data[[#This Row],[TA]])</f>
        <v>0</v>
      </c>
      <c r="R1053" s="4">
        <f>Employee_Data[[#This Row],[Basic Salary]]*12.5%</f>
        <v>0</v>
      </c>
      <c r="S1053" s="2">
        <f>Employee_Data[[#This Row],[Annual Salary]]/12</f>
        <v>0</v>
      </c>
    </row>
    <row r="1054" spans="1:19" x14ac:dyDescent="0.3">
      <c r="A1054" t="s">
        <v>1086</v>
      </c>
      <c r="B1054" t="s">
        <v>1087</v>
      </c>
      <c r="C1054" t="s">
        <v>292</v>
      </c>
      <c r="D1054" t="s">
        <v>21</v>
      </c>
      <c r="E1054" t="s">
        <v>31</v>
      </c>
      <c r="F1054" t="s">
        <v>42</v>
      </c>
      <c r="I1054" s="1">
        <v>43087</v>
      </c>
      <c r="J1054" s="2">
        <v>82241</v>
      </c>
      <c r="K1054" s="3">
        <v>0</v>
      </c>
      <c r="L1054" t="s">
        <v>37</v>
      </c>
      <c r="M1054" t="s">
        <v>38</v>
      </c>
      <c r="N1054" s="2">
        <f>Employee_Data[[#This Row],[Basic Salary]]*10%</f>
        <v>685.3416666666667</v>
      </c>
      <c r="O1054" s="4">
        <f>Employee_Data[[#This Row],[Basic Salary]]*7.5%</f>
        <v>514.00625000000002</v>
      </c>
      <c r="P1054" s="2">
        <f>Employee_Data[[#This Row],[Basic Salary]]*3%</f>
        <v>205.60249999999999</v>
      </c>
      <c r="Q1054" s="2">
        <f>SUM(Employee_Data[[#This Row],[Basic Salary]],Employee_Data[[#This Row],[HRA]],Employee_Data[[#This Row],[MA]],Employee_Data[[#This Row],[TA]])</f>
        <v>8258.3670833333344</v>
      </c>
      <c r="R1054" s="4">
        <f>Employee_Data[[#This Row],[Basic Salary]]*12.5%</f>
        <v>856.67708333333337</v>
      </c>
      <c r="S1054" s="2">
        <f>Employee_Data[[#This Row],[Annual Salary]]/12</f>
        <v>6853.416666666667</v>
      </c>
    </row>
    <row r="1055" spans="1:19" x14ac:dyDescent="0.3">
      <c r="A1055" t="s">
        <v>1088</v>
      </c>
      <c r="B1055" t="s">
        <v>1089</v>
      </c>
      <c r="C1055" t="s">
        <v>69</v>
      </c>
      <c r="D1055" t="s">
        <v>80</v>
      </c>
      <c r="E1055" t="s">
        <v>36</v>
      </c>
      <c r="H1055">
        <v>31</v>
      </c>
      <c r="J1055" s="2">
        <v>125664</v>
      </c>
      <c r="K1055" s="3">
        <v>0.05</v>
      </c>
      <c r="L1055" t="s">
        <v>137</v>
      </c>
      <c r="M1055" t="s">
        <v>289</v>
      </c>
      <c r="N1055" s="2">
        <f>Employee_Data[[#This Row],[Basic Salary]]*10%</f>
        <v>1047.2</v>
      </c>
      <c r="O1055" s="4">
        <f>Employee_Data[[#This Row],[Basic Salary]]*7.5%</f>
        <v>785.4</v>
      </c>
      <c r="P1055" s="2">
        <f>Employee_Data[[#This Row],[Basic Salary]]*3%</f>
        <v>314.15999999999997</v>
      </c>
      <c r="Q1055" s="2">
        <f>SUM(Employee_Data[[#This Row],[Basic Salary]],Employee_Data[[#This Row],[HRA]],Employee_Data[[#This Row],[MA]],Employee_Data[[#This Row],[TA]])</f>
        <v>12618.76</v>
      </c>
      <c r="R1055" s="4">
        <f>Employee_Data[[#This Row],[Basic Salary]]*12.5%</f>
        <v>1309</v>
      </c>
      <c r="S1055" s="2">
        <f>Employee_Data[[#This Row],[Annual Salary]]/12</f>
        <v>10472</v>
      </c>
    </row>
    <row r="1056" spans="1:19" x14ac:dyDescent="0.3">
      <c r="A1056" t="s">
        <v>774</v>
      </c>
      <c r="B1056" t="s">
        <v>775</v>
      </c>
      <c r="C1056" t="s">
        <v>101</v>
      </c>
      <c r="D1056" t="s">
        <v>4</v>
      </c>
      <c r="F1056" t="s">
        <v>42</v>
      </c>
      <c r="H1056">
        <v>25</v>
      </c>
      <c r="J1056" s="2">
        <v>86075</v>
      </c>
      <c r="K1056" s="3">
        <v>0</v>
      </c>
      <c r="L1056" t="s">
        <v>25</v>
      </c>
      <c r="M1056" t="s">
        <v>70</v>
      </c>
      <c r="N1056" s="2">
        <f>Employee_Data[[#This Row],[Basic Salary]]*10%</f>
        <v>717.29166666666674</v>
      </c>
      <c r="O1056" s="4">
        <f>Employee_Data[[#This Row],[Basic Salary]]*7.5%</f>
        <v>537.96875</v>
      </c>
      <c r="P1056" s="2">
        <f>Employee_Data[[#This Row],[Basic Salary]]*3%</f>
        <v>215.1875</v>
      </c>
      <c r="Q1056" s="2">
        <f>SUM(Employee_Data[[#This Row],[Basic Salary]],Employee_Data[[#This Row],[HRA]],Employee_Data[[#This Row],[MA]],Employee_Data[[#This Row],[TA]])</f>
        <v>8643.3645833333339</v>
      </c>
      <c r="R1056" s="4">
        <f>Employee_Data[[#This Row],[Basic Salary]]*12.5%</f>
        <v>896.61458333333337</v>
      </c>
      <c r="S1056" s="2">
        <f>Employee_Data[[#This Row],[Annual Salary]]/12</f>
        <v>7172.916666666667</v>
      </c>
    </row>
    <row r="1057" spans="1:19" x14ac:dyDescent="0.3">
      <c r="A1057" t="s">
        <v>776</v>
      </c>
      <c r="B1057" t="s">
        <v>777</v>
      </c>
      <c r="C1057" t="s">
        <v>29</v>
      </c>
      <c r="D1057" t="s">
        <v>61</v>
      </c>
      <c r="F1057" t="s">
        <v>23</v>
      </c>
      <c r="G1057" t="s">
        <v>43</v>
      </c>
      <c r="H1057">
        <v>45</v>
      </c>
      <c r="I1057" s="1">
        <v>42229</v>
      </c>
      <c r="J1057" s="2">
        <v>52798</v>
      </c>
      <c r="K1057" s="3">
        <v>0</v>
      </c>
      <c r="L1057" t="s">
        <v>25</v>
      </c>
      <c r="M1057" t="s">
        <v>70</v>
      </c>
      <c r="N1057" s="2">
        <f>Employee_Data[[#This Row],[Basic Salary]]*10%</f>
        <v>439.98333333333335</v>
      </c>
      <c r="O1057" s="4">
        <f>Employee_Data[[#This Row],[Basic Salary]]*7.5%</f>
        <v>329.98749999999995</v>
      </c>
      <c r="P1057" s="2">
        <f>Employee_Data[[#This Row],[Basic Salary]]*3%</f>
        <v>131.99499999999998</v>
      </c>
      <c r="Q1057" s="2">
        <f>SUM(Employee_Data[[#This Row],[Basic Salary]],Employee_Data[[#This Row],[HRA]],Employee_Data[[#This Row],[MA]],Employee_Data[[#This Row],[TA]])</f>
        <v>5301.7991666666667</v>
      </c>
      <c r="R1057" s="4">
        <f>Employee_Data[[#This Row],[Basic Salary]]*12.5%</f>
        <v>549.97916666666663</v>
      </c>
      <c r="S1057" s="2">
        <f>Employee_Data[[#This Row],[Annual Salary]]/12</f>
        <v>4399.833333333333</v>
      </c>
    </row>
    <row r="1058" spans="1:19" x14ac:dyDescent="0.3">
      <c r="A1058" t="s">
        <v>778</v>
      </c>
      <c r="B1058" t="s">
        <v>779</v>
      </c>
      <c r="C1058" t="s">
        <v>380</v>
      </c>
      <c r="D1058" t="s">
        <v>4</v>
      </c>
      <c r="F1058" t="s">
        <v>42</v>
      </c>
      <c r="G1058" t="s">
        <v>24</v>
      </c>
      <c r="H1058">
        <v>63</v>
      </c>
      <c r="I1058" s="1">
        <v>44182</v>
      </c>
      <c r="K1058" s="3">
        <v>0</v>
      </c>
      <c r="L1058" t="s">
        <v>37</v>
      </c>
      <c r="M1058" t="s">
        <v>38</v>
      </c>
      <c r="N1058" s="2">
        <f>Employee_Data[[#This Row],[Basic Salary]]*10%</f>
        <v>0</v>
      </c>
      <c r="O1058" s="4">
        <f>Employee_Data[[#This Row],[Basic Salary]]*7.5%</f>
        <v>0</v>
      </c>
      <c r="P1058" s="2">
        <f>Employee_Data[[#This Row],[Basic Salary]]*3%</f>
        <v>0</v>
      </c>
      <c r="Q1058" s="2">
        <f>SUM(Employee_Data[[#This Row],[Basic Salary]],Employee_Data[[#This Row],[HRA]],Employee_Data[[#This Row],[MA]],Employee_Data[[#This Row],[TA]])</f>
        <v>0</v>
      </c>
      <c r="R1058" s="4">
        <f>Employee_Data[[#This Row],[Basic Salary]]*12.5%</f>
        <v>0</v>
      </c>
      <c r="S1058" s="2">
        <f>Employee_Data[[#This Row],[Annual Salary]]/12</f>
        <v>0</v>
      </c>
    </row>
    <row r="1059" spans="1:19" x14ac:dyDescent="0.3">
      <c r="A1059" t="s">
        <v>780</v>
      </c>
      <c r="B1059" t="s">
        <v>781</v>
      </c>
      <c r="C1059" t="s">
        <v>54</v>
      </c>
      <c r="D1059" t="s">
        <v>80</v>
      </c>
      <c r="F1059" t="s">
        <v>23</v>
      </c>
      <c r="G1059" t="s">
        <v>43</v>
      </c>
      <c r="H1059">
        <v>52</v>
      </c>
      <c r="I1059" s="1">
        <v>37479</v>
      </c>
      <c r="J1059" s="2">
        <v>95682</v>
      </c>
      <c r="K1059" s="3">
        <v>0</v>
      </c>
      <c r="L1059" t="s">
        <v>25</v>
      </c>
      <c r="M1059" t="s">
        <v>44</v>
      </c>
      <c r="N1059" s="2">
        <f>Employee_Data[[#This Row],[Basic Salary]]*10%</f>
        <v>797.35</v>
      </c>
      <c r="O1059" s="4">
        <f>Employee_Data[[#This Row],[Basic Salary]]*7.5%</f>
        <v>598.01249999999993</v>
      </c>
      <c r="P1059" s="2">
        <f>Employee_Data[[#This Row],[Basic Salary]]*3%</f>
        <v>239.20499999999998</v>
      </c>
      <c r="Q1059" s="2">
        <f>SUM(Employee_Data[[#This Row],[Basic Salary]],Employee_Data[[#This Row],[HRA]],Employee_Data[[#This Row],[MA]],Employee_Data[[#This Row],[TA]])</f>
        <v>9608.067500000001</v>
      </c>
      <c r="R1059" s="4">
        <f>Employee_Data[[#This Row],[Basic Salary]]*12.5%</f>
        <v>996.6875</v>
      </c>
      <c r="S1059" s="2">
        <f>Employee_Data[[#This Row],[Annual Salary]]/12</f>
        <v>7973.5</v>
      </c>
    </row>
    <row r="1060" spans="1:19" x14ac:dyDescent="0.3">
      <c r="A1060" t="s">
        <v>782</v>
      </c>
      <c r="B1060" t="s">
        <v>783</v>
      </c>
      <c r="C1060" t="s">
        <v>60</v>
      </c>
      <c r="D1060" t="s">
        <v>80</v>
      </c>
      <c r="F1060" t="s">
        <v>42</v>
      </c>
      <c r="G1060" t="s">
        <v>24</v>
      </c>
      <c r="H1060">
        <v>59</v>
      </c>
      <c r="I1060" s="1">
        <v>34118</v>
      </c>
      <c r="J1060" s="2">
        <v>55476</v>
      </c>
      <c r="K1060" s="3">
        <v>0</v>
      </c>
      <c r="L1060" t="s">
        <v>37</v>
      </c>
      <c r="M1060" t="s">
        <v>57</v>
      </c>
      <c r="N1060" s="2">
        <f>Employee_Data[[#This Row],[Basic Salary]]*10%</f>
        <v>462.3</v>
      </c>
      <c r="O1060" s="4">
        <f>Employee_Data[[#This Row],[Basic Salary]]*7.5%</f>
        <v>346.72499999999997</v>
      </c>
      <c r="P1060" s="2">
        <f>Employee_Data[[#This Row],[Basic Salary]]*3%</f>
        <v>138.69</v>
      </c>
      <c r="Q1060" s="2">
        <f>SUM(Employee_Data[[#This Row],[Basic Salary]],Employee_Data[[#This Row],[HRA]],Employee_Data[[#This Row],[MA]],Employee_Data[[#This Row],[TA]])</f>
        <v>5570.7150000000001</v>
      </c>
      <c r="R1060" s="4">
        <f>Employee_Data[[#This Row],[Basic Salary]]*12.5%</f>
        <v>577.875</v>
      </c>
      <c r="S1060" s="2">
        <f>Employee_Data[[#This Row],[Annual Salary]]/12</f>
        <v>4623</v>
      </c>
    </row>
    <row r="1061" spans="1:19" x14ac:dyDescent="0.3">
      <c r="A1061" t="s">
        <v>784</v>
      </c>
      <c r="B1061" t="s">
        <v>785</v>
      </c>
      <c r="C1061" t="s">
        <v>89</v>
      </c>
      <c r="D1061" t="s">
        <v>61</v>
      </c>
      <c r="E1061" t="s">
        <v>22</v>
      </c>
      <c r="G1061" t="s">
        <v>66</v>
      </c>
      <c r="H1061">
        <v>30</v>
      </c>
      <c r="I1061" s="1">
        <v>43114</v>
      </c>
      <c r="J1061" s="2">
        <v>197792</v>
      </c>
      <c r="K1061" s="3">
        <v>0.34</v>
      </c>
      <c r="L1061" t="s">
        <v>25</v>
      </c>
      <c r="M1061" t="s">
        <v>48</v>
      </c>
      <c r="N1061" s="2">
        <f>Employee_Data[[#This Row],[Basic Salary]]*10%</f>
        <v>1648.2666666666669</v>
      </c>
      <c r="O1061" s="4">
        <f>Employee_Data[[#This Row],[Basic Salary]]*7.5%</f>
        <v>1236.2</v>
      </c>
      <c r="P1061" s="2">
        <f>Employee_Data[[#This Row],[Basic Salary]]*3%</f>
        <v>494.48</v>
      </c>
      <c r="Q1061" s="2">
        <f>SUM(Employee_Data[[#This Row],[Basic Salary]],Employee_Data[[#This Row],[HRA]],Employee_Data[[#This Row],[MA]],Employee_Data[[#This Row],[TA]])</f>
        <v>19861.613333333335</v>
      </c>
      <c r="R1061" s="4">
        <f>Employee_Data[[#This Row],[Basic Salary]]*12.5%</f>
        <v>2060.3333333333335</v>
      </c>
      <c r="S1061" s="2">
        <f>Employee_Data[[#This Row],[Annual Salary]]/12</f>
        <v>16482.666666666668</v>
      </c>
    </row>
    <row r="1062" spans="1:19" x14ac:dyDescent="0.3">
      <c r="A1062" t="s">
        <v>786</v>
      </c>
      <c r="B1062" t="s">
        <v>787</v>
      </c>
      <c r="C1062" t="s">
        <v>292</v>
      </c>
      <c r="D1062" t="s">
        <v>21</v>
      </c>
      <c r="F1062" t="s">
        <v>42</v>
      </c>
      <c r="G1062" t="s">
        <v>66</v>
      </c>
      <c r="H1062">
        <v>55</v>
      </c>
      <c r="I1062" s="1">
        <v>40004</v>
      </c>
      <c r="J1062" s="2">
        <v>82271</v>
      </c>
      <c r="K1062" s="3">
        <v>0</v>
      </c>
      <c r="L1062" t="s">
        <v>25</v>
      </c>
      <c r="M1062" t="s">
        <v>32</v>
      </c>
      <c r="N1062" s="2">
        <f>Employee_Data[[#This Row],[Basic Salary]]*10%</f>
        <v>685.5916666666667</v>
      </c>
      <c r="O1062" s="4">
        <f>Employee_Data[[#This Row],[Basic Salary]]*7.5%</f>
        <v>514.19375000000002</v>
      </c>
      <c r="P1062" s="2">
        <f>Employee_Data[[#This Row],[Basic Salary]]*3%</f>
        <v>205.67750000000001</v>
      </c>
      <c r="Q1062" s="2">
        <f>SUM(Employee_Data[[#This Row],[Basic Salary]],Employee_Data[[#This Row],[HRA]],Employee_Data[[#This Row],[MA]],Employee_Data[[#This Row],[TA]])</f>
        <v>8261.3795833333334</v>
      </c>
      <c r="R1062" s="4">
        <f>Employee_Data[[#This Row],[Basic Salary]]*12.5%</f>
        <v>856.98958333333337</v>
      </c>
      <c r="S1062" s="2">
        <f>Employee_Data[[#This Row],[Annual Salary]]/12</f>
        <v>6855.916666666667</v>
      </c>
    </row>
    <row r="1063" spans="1:19" x14ac:dyDescent="0.3">
      <c r="A1063" t="s">
        <v>788</v>
      </c>
      <c r="B1063" t="s">
        <v>789</v>
      </c>
      <c r="C1063" t="s">
        <v>83</v>
      </c>
      <c r="D1063" t="s">
        <v>55</v>
      </c>
      <c r="F1063" t="s">
        <v>23</v>
      </c>
      <c r="G1063" t="s">
        <v>24</v>
      </c>
      <c r="H1063">
        <v>65</v>
      </c>
      <c r="I1063" s="1">
        <v>39926</v>
      </c>
      <c r="J1063" s="2">
        <v>155716</v>
      </c>
      <c r="K1063" s="3">
        <v>0.12</v>
      </c>
      <c r="L1063" t="s">
        <v>25</v>
      </c>
      <c r="M1063" t="s">
        <v>44</v>
      </c>
      <c r="N1063" s="2">
        <f>Employee_Data[[#This Row],[Basic Salary]]*10%</f>
        <v>1297.6333333333334</v>
      </c>
      <c r="O1063" s="4">
        <f>Employee_Data[[#This Row],[Basic Salary]]*7.5%</f>
        <v>973.22500000000002</v>
      </c>
      <c r="P1063" s="2">
        <f>Employee_Data[[#This Row],[Basic Salary]]*3%</f>
        <v>389.29</v>
      </c>
      <c r="Q1063" s="2">
        <f>SUM(Employee_Data[[#This Row],[Basic Salary]],Employee_Data[[#This Row],[HRA]],Employee_Data[[#This Row],[MA]],Employee_Data[[#This Row],[TA]])</f>
        <v>15636.481666666668</v>
      </c>
      <c r="R1063" s="4">
        <f>Employee_Data[[#This Row],[Basic Salary]]*12.5%</f>
        <v>1622.0416666666667</v>
      </c>
      <c r="S1063" s="2">
        <f>Employee_Data[[#This Row],[Annual Salary]]/12</f>
        <v>12976.333333333334</v>
      </c>
    </row>
    <row r="1064" spans="1:19" x14ac:dyDescent="0.3">
      <c r="A1064" t="s">
        <v>497</v>
      </c>
      <c r="B1064" t="s">
        <v>498</v>
      </c>
      <c r="C1064" t="s">
        <v>69</v>
      </c>
      <c r="D1064" t="s">
        <v>61</v>
      </c>
      <c r="F1064" t="s">
        <v>42</v>
      </c>
      <c r="G1064" t="s">
        <v>43</v>
      </c>
      <c r="H1064">
        <v>63</v>
      </c>
      <c r="I1064" s="1">
        <v>42988</v>
      </c>
      <c r="J1064" s="2">
        <v>126064</v>
      </c>
      <c r="K1064" s="3">
        <v>0.05</v>
      </c>
      <c r="L1064" t="s">
        <v>25</v>
      </c>
      <c r="M1064" t="s">
        <v>70</v>
      </c>
      <c r="N1064" s="2">
        <f>Employee_Data[[#This Row],[Basic Salary]]*10%</f>
        <v>1050.5333333333335</v>
      </c>
      <c r="O1064" s="4">
        <f>Employee_Data[[#This Row],[Basic Salary]]*7.5%</f>
        <v>787.9</v>
      </c>
      <c r="P1064" s="2">
        <f>Employee_Data[[#This Row],[Basic Salary]]*3%</f>
        <v>315.16000000000003</v>
      </c>
      <c r="Q1064" s="2">
        <f>SUM(Employee_Data[[#This Row],[Basic Salary]],Employee_Data[[#This Row],[HRA]],Employee_Data[[#This Row],[MA]],Employee_Data[[#This Row],[TA]])</f>
        <v>12658.926666666666</v>
      </c>
      <c r="R1064" s="4">
        <f>Employee_Data[[#This Row],[Basic Salary]]*12.5%</f>
        <v>1313.1666666666667</v>
      </c>
      <c r="S1064" s="2">
        <f>Employee_Data[[#This Row],[Annual Salary]]/12</f>
        <v>10505.333333333334</v>
      </c>
    </row>
    <row r="1065" spans="1:19" x14ac:dyDescent="0.3">
      <c r="A1065" t="s">
        <v>499</v>
      </c>
      <c r="B1065" t="s">
        <v>500</v>
      </c>
      <c r="C1065" t="s">
        <v>83</v>
      </c>
      <c r="D1065" t="s">
        <v>126</v>
      </c>
      <c r="E1065" t="s">
        <v>56</v>
      </c>
      <c r="F1065" t="s">
        <v>42</v>
      </c>
      <c r="G1065" t="s">
        <v>84</v>
      </c>
      <c r="I1065" s="1">
        <v>41292</v>
      </c>
      <c r="J1065" s="2">
        <v>151666</v>
      </c>
      <c r="K1065" s="3">
        <v>0.13</v>
      </c>
      <c r="L1065" t="s">
        <v>25</v>
      </c>
      <c r="M1065" t="s">
        <v>32</v>
      </c>
      <c r="N1065" s="2">
        <f>Employee_Data[[#This Row],[Basic Salary]]*10%</f>
        <v>1263.8833333333334</v>
      </c>
      <c r="O1065" s="4">
        <f>Employee_Data[[#This Row],[Basic Salary]]*7.5%</f>
        <v>947.91250000000002</v>
      </c>
      <c r="P1065" s="2">
        <f>Employee_Data[[#This Row],[Basic Salary]]*3%</f>
        <v>379.16500000000002</v>
      </c>
      <c r="Q1065" s="2">
        <f>SUM(Employee_Data[[#This Row],[Basic Salary]],Employee_Data[[#This Row],[HRA]],Employee_Data[[#This Row],[MA]],Employee_Data[[#This Row],[TA]])</f>
        <v>15229.794166666668</v>
      </c>
      <c r="R1065" s="4">
        <f>Employee_Data[[#This Row],[Basic Salary]]*12.5%</f>
        <v>1579.8541666666667</v>
      </c>
      <c r="S1065" s="2">
        <f>Employee_Data[[#This Row],[Annual Salary]]/12</f>
        <v>12638.833333333334</v>
      </c>
    </row>
    <row r="1066" spans="1:19" x14ac:dyDescent="0.3">
      <c r="A1066" t="s">
        <v>501</v>
      </c>
      <c r="B1066" t="s">
        <v>502</v>
      </c>
      <c r="C1066" t="s">
        <v>94</v>
      </c>
      <c r="D1066" t="s">
        <v>4</v>
      </c>
      <c r="E1066" t="s">
        <v>56</v>
      </c>
      <c r="F1066" t="s">
        <v>23</v>
      </c>
      <c r="G1066" t="s">
        <v>66</v>
      </c>
      <c r="H1066">
        <v>63</v>
      </c>
      <c r="I1066" s="1">
        <v>36627</v>
      </c>
      <c r="K1066" s="3">
        <v>0</v>
      </c>
      <c r="L1066" t="s">
        <v>25</v>
      </c>
      <c r="M1066" t="s">
        <v>44</v>
      </c>
      <c r="N1066" s="2">
        <f>Employee_Data[[#This Row],[Basic Salary]]*10%</f>
        <v>0</v>
      </c>
      <c r="O1066" s="4">
        <f>Employee_Data[[#This Row],[Basic Salary]]*7.5%</f>
        <v>0</v>
      </c>
      <c r="P1066" s="2">
        <f>Employee_Data[[#This Row],[Basic Salary]]*3%</f>
        <v>0</v>
      </c>
      <c r="Q1066" s="2">
        <f>SUM(Employee_Data[[#This Row],[Basic Salary]],Employee_Data[[#This Row],[HRA]],Employee_Data[[#This Row],[MA]],Employee_Data[[#This Row],[TA]])</f>
        <v>0</v>
      </c>
      <c r="R1066" s="4">
        <f>Employee_Data[[#This Row],[Basic Salary]]*12.5%</f>
        <v>0</v>
      </c>
      <c r="S1066" s="2">
        <f>Employee_Data[[#This Row],[Annual Salary]]/12</f>
        <v>0</v>
      </c>
    </row>
    <row r="1067" spans="1:19" x14ac:dyDescent="0.3">
      <c r="A1067" t="s">
        <v>505</v>
      </c>
      <c r="B1067" t="s">
        <v>506</v>
      </c>
      <c r="C1067" t="s">
        <v>47</v>
      </c>
      <c r="D1067" t="s">
        <v>30</v>
      </c>
      <c r="E1067" t="s">
        <v>31</v>
      </c>
      <c r="F1067" t="s">
        <v>42</v>
      </c>
      <c r="G1067" t="s">
        <v>43</v>
      </c>
      <c r="H1067">
        <v>30</v>
      </c>
      <c r="I1067" s="1">
        <v>44883</v>
      </c>
      <c r="K1067" s="3">
        <v>0.24</v>
      </c>
      <c r="L1067" t="s">
        <v>137</v>
      </c>
      <c r="M1067" t="s">
        <v>289</v>
      </c>
      <c r="N1067" s="2">
        <f>Employee_Data[[#This Row],[Basic Salary]]*10%</f>
        <v>0</v>
      </c>
      <c r="O1067" s="4">
        <f>Employee_Data[[#This Row],[Basic Salary]]*7.5%</f>
        <v>0</v>
      </c>
      <c r="P1067" s="2">
        <f>Employee_Data[[#This Row],[Basic Salary]]*3%</f>
        <v>0</v>
      </c>
      <c r="Q1067" s="2">
        <f>SUM(Employee_Data[[#This Row],[Basic Salary]],Employee_Data[[#This Row],[HRA]],Employee_Data[[#This Row],[MA]],Employee_Data[[#This Row],[TA]])</f>
        <v>0</v>
      </c>
      <c r="R1067" s="4">
        <f>Employee_Data[[#This Row],[Basic Salary]]*12.5%</f>
        <v>0</v>
      </c>
      <c r="S1067" s="2">
        <f>Employee_Data[[#This Row],[Annual Salary]]/12</f>
        <v>0</v>
      </c>
    </row>
    <row r="1068" spans="1:19" x14ac:dyDescent="0.3">
      <c r="A1068" t="s">
        <v>507</v>
      </c>
      <c r="B1068" t="s">
        <v>508</v>
      </c>
      <c r="C1068" t="s">
        <v>83</v>
      </c>
      <c r="D1068" t="s">
        <v>30</v>
      </c>
      <c r="E1068" t="s">
        <v>56</v>
      </c>
      <c r="F1068" t="s">
        <v>42</v>
      </c>
      <c r="G1068" t="s">
        <v>66</v>
      </c>
      <c r="H1068">
        <v>51</v>
      </c>
      <c r="I1068" s="1">
        <v>37932</v>
      </c>
      <c r="K1068" s="3">
        <v>0.12</v>
      </c>
      <c r="L1068" t="s">
        <v>25</v>
      </c>
      <c r="M1068" t="s">
        <v>44</v>
      </c>
      <c r="N1068" s="2">
        <f>Employee_Data[[#This Row],[Basic Salary]]*10%</f>
        <v>0</v>
      </c>
      <c r="O1068" s="4">
        <f>Employee_Data[[#This Row],[Basic Salary]]*7.5%</f>
        <v>0</v>
      </c>
      <c r="P1068" s="2">
        <f>Employee_Data[[#This Row],[Basic Salary]]*3%</f>
        <v>0</v>
      </c>
      <c r="Q1068" s="2">
        <f>SUM(Employee_Data[[#This Row],[Basic Salary]],Employee_Data[[#This Row],[HRA]],Employee_Data[[#This Row],[MA]],Employee_Data[[#This Row],[TA]])</f>
        <v>0</v>
      </c>
      <c r="R1068" s="4">
        <f>Employee_Data[[#This Row],[Basic Salary]]*12.5%</f>
        <v>0</v>
      </c>
      <c r="S1068" s="2">
        <f>Employee_Data[[#This Row],[Annual Salary]]/12</f>
        <v>0</v>
      </c>
    </row>
    <row r="1069" spans="1:19" x14ac:dyDescent="0.3">
      <c r="A1069" t="s">
        <v>511</v>
      </c>
      <c r="B1069" t="s">
        <v>512</v>
      </c>
      <c r="C1069" t="s">
        <v>47</v>
      </c>
      <c r="D1069" t="s">
        <v>61</v>
      </c>
      <c r="E1069" t="s">
        <v>31</v>
      </c>
      <c r="G1069" t="s">
        <v>43</v>
      </c>
      <c r="H1069">
        <v>62</v>
      </c>
      <c r="I1069" s="1">
        <v>40754</v>
      </c>
      <c r="K1069" s="3">
        <v>0.24</v>
      </c>
      <c r="L1069" t="s">
        <v>137</v>
      </c>
      <c r="M1069" t="s">
        <v>289</v>
      </c>
      <c r="N1069" s="2">
        <f>Employee_Data[[#This Row],[Basic Salary]]*10%</f>
        <v>0</v>
      </c>
      <c r="O1069" s="4">
        <f>Employee_Data[[#This Row],[Basic Salary]]*7.5%</f>
        <v>0</v>
      </c>
      <c r="P1069" s="2">
        <f>Employee_Data[[#This Row],[Basic Salary]]*3%</f>
        <v>0</v>
      </c>
      <c r="Q1069" s="2">
        <f>SUM(Employee_Data[[#This Row],[Basic Salary]],Employee_Data[[#This Row],[HRA]],Employee_Data[[#This Row],[MA]],Employee_Data[[#This Row],[TA]])</f>
        <v>0</v>
      </c>
      <c r="R1069" s="4">
        <f>Employee_Data[[#This Row],[Basic Salary]]*12.5%</f>
        <v>0</v>
      </c>
      <c r="S1069" s="2">
        <f>Employee_Data[[#This Row],[Annual Salary]]/12</f>
        <v>0</v>
      </c>
    </row>
    <row r="1070" spans="1:19" x14ac:dyDescent="0.3">
      <c r="A1070" t="s">
        <v>513</v>
      </c>
      <c r="B1070" t="s">
        <v>514</v>
      </c>
      <c r="D1070" t="s">
        <v>30</v>
      </c>
      <c r="E1070" t="s">
        <v>22</v>
      </c>
      <c r="F1070" t="s">
        <v>42</v>
      </c>
      <c r="G1070" t="s">
        <v>43</v>
      </c>
      <c r="H1070">
        <v>27</v>
      </c>
      <c r="I1070" s="1">
        <v>44539</v>
      </c>
      <c r="K1070" s="3">
        <v>0.3</v>
      </c>
      <c r="L1070" t="s">
        <v>137</v>
      </c>
      <c r="M1070" t="s">
        <v>183</v>
      </c>
      <c r="N1070" s="2">
        <f>Employee_Data[[#This Row],[Basic Salary]]*10%</f>
        <v>0</v>
      </c>
      <c r="O1070" s="4">
        <f>Employee_Data[[#This Row],[Basic Salary]]*7.5%</f>
        <v>0</v>
      </c>
      <c r="P1070" s="2">
        <f>Employee_Data[[#This Row],[Basic Salary]]*3%</f>
        <v>0</v>
      </c>
      <c r="Q1070" s="2">
        <f>SUM(Employee_Data[[#This Row],[Basic Salary]],Employee_Data[[#This Row],[HRA]],Employee_Data[[#This Row],[MA]],Employee_Data[[#This Row],[TA]])</f>
        <v>0</v>
      </c>
      <c r="R1070" s="4">
        <f>Employee_Data[[#This Row],[Basic Salary]]*12.5%</f>
        <v>0</v>
      </c>
      <c r="S1070" s="2">
        <f>Employee_Data[[#This Row],[Annual Salary]]/12</f>
        <v>0</v>
      </c>
    </row>
    <row r="1071" spans="1:19" x14ac:dyDescent="0.3">
      <c r="A1071" t="s">
        <v>1076</v>
      </c>
      <c r="B1071" t="s">
        <v>1077</v>
      </c>
      <c r="D1071" t="s">
        <v>80</v>
      </c>
      <c r="E1071" t="s">
        <v>31</v>
      </c>
      <c r="F1071" t="s">
        <v>42</v>
      </c>
      <c r="G1071" t="s">
        <v>24</v>
      </c>
      <c r="H1071">
        <v>41</v>
      </c>
      <c r="I1071" s="1">
        <v>44444</v>
      </c>
      <c r="J1071" s="2">
        <v>192266</v>
      </c>
      <c r="K1071" s="3">
        <v>0.23</v>
      </c>
      <c r="L1071" t="s">
        <v>37</v>
      </c>
      <c r="M1071" t="s">
        <v>62</v>
      </c>
      <c r="N1071" s="2">
        <f>Employee_Data[[#This Row],[Basic Salary]]*10%</f>
        <v>1602.2166666666667</v>
      </c>
      <c r="O1071" s="4">
        <f>Employee_Data[[#This Row],[Basic Salary]]*7.5%</f>
        <v>1201.6624999999999</v>
      </c>
      <c r="P1071" s="2">
        <f>Employee_Data[[#This Row],[Basic Salary]]*3%</f>
        <v>480.66499999999996</v>
      </c>
      <c r="Q1071" s="2">
        <f>SUM(Employee_Data[[#This Row],[Basic Salary]],Employee_Data[[#This Row],[HRA]],Employee_Data[[#This Row],[MA]],Employee_Data[[#This Row],[TA]])</f>
        <v>19306.710833333331</v>
      </c>
      <c r="R1071" s="4">
        <f>Employee_Data[[#This Row],[Basic Salary]]*12.5%</f>
        <v>2002.7708333333333</v>
      </c>
      <c r="S1071" s="2">
        <f>Employee_Data[[#This Row],[Annual Salary]]/12</f>
        <v>16022.166666666666</v>
      </c>
    </row>
    <row r="1072" spans="1:19" x14ac:dyDescent="0.3">
      <c r="A1072" t="s">
        <v>1078</v>
      </c>
      <c r="B1072" t="s">
        <v>1079</v>
      </c>
      <c r="D1072" t="s">
        <v>4</v>
      </c>
      <c r="E1072" t="s">
        <v>22</v>
      </c>
      <c r="F1072" t="s">
        <v>42</v>
      </c>
      <c r="G1072" t="s">
        <v>24</v>
      </c>
      <c r="H1072">
        <v>36</v>
      </c>
      <c r="I1072" s="1">
        <v>41628</v>
      </c>
      <c r="J1072" s="2">
        <v>79876</v>
      </c>
      <c r="K1072" s="3">
        <v>0</v>
      </c>
      <c r="L1072" t="s">
        <v>25</v>
      </c>
      <c r="M1072" t="s">
        <v>44</v>
      </c>
      <c r="N1072" s="2">
        <f>Employee_Data[[#This Row],[Basic Salary]]*10%</f>
        <v>665.63333333333333</v>
      </c>
      <c r="O1072" s="4">
        <f>Employee_Data[[#This Row],[Basic Salary]]*7.5%</f>
        <v>499.22499999999997</v>
      </c>
      <c r="P1072" s="2">
        <f>Employee_Data[[#This Row],[Basic Salary]]*3%</f>
        <v>199.69</v>
      </c>
      <c r="Q1072" s="2">
        <f>SUM(Employee_Data[[#This Row],[Basic Salary]],Employee_Data[[#This Row],[HRA]],Employee_Data[[#This Row],[MA]],Employee_Data[[#This Row],[TA]])</f>
        <v>8020.8816666666662</v>
      </c>
      <c r="R1072" s="4">
        <f>Employee_Data[[#This Row],[Basic Salary]]*12.5%</f>
        <v>832.04166666666663</v>
      </c>
      <c r="S1072" s="2">
        <f>Employee_Data[[#This Row],[Annual Salary]]/12</f>
        <v>6656.333333333333</v>
      </c>
    </row>
    <row r="1073" spans="1:19" x14ac:dyDescent="0.3">
      <c r="A1073" t="s">
        <v>1080</v>
      </c>
      <c r="B1073" t="s">
        <v>1081</v>
      </c>
      <c r="D1073" t="s">
        <v>30</v>
      </c>
      <c r="E1073" t="s">
        <v>31</v>
      </c>
      <c r="F1073" t="s">
        <v>42</v>
      </c>
      <c r="G1073" t="s">
        <v>24</v>
      </c>
      <c r="H1073">
        <v>42</v>
      </c>
      <c r="I1073" s="1">
        <v>43165</v>
      </c>
      <c r="J1073" s="2">
        <v>112593</v>
      </c>
      <c r="L1073" t="s">
        <v>25</v>
      </c>
      <c r="M1073" t="s">
        <v>44</v>
      </c>
      <c r="N1073" s="2">
        <f>Employee_Data[[#This Row],[Basic Salary]]*10%</f>
        <v>938.27500000000009</v>
      </c>
      <c r="O1073" s="4">
        <f>Employee_Data[[#This Row],[Basic Salary]]*7.5%</f>
        <v>703.70624999999995</v>
      </c>
      <c r="P1073" s="2">
        <f>Employee_Data[[#This Row],[Basic Salary]]*3%</f>
        <v>281.48250000000002</v>
      </c>
      <c r="Q1073" s="2">
        <f>SUM(Employee_Data[[#This Row],[Basic Salary]],Employee_Data[[#This Row],[HRA]],Employee_Data[[#This Row],[MA]],Employee_Data[[#This Row],[TA]])</f>
        <v>11306.213749999999</v>
      </c>
      <c r="R1073" s="4">
        <f>Employee_Data[[#This Row],[Basic Salary]]*12.5%</f>
        <v>1172.84375</v>
      </c>
      <c r="S1073" s="2">
        <f>Employee_Data[[#This Row],[Annual Salary]]/12</f>
        <v>9382.75</v>
      </c>
    </row>
    <row r="1074" spans="1:19" x14ac:dyDescent="0.3">
      <c r="A1074" t="s">
        <v>1082</v>
      </c>
      <c r="B1074" t="s">
        <v>1083</v>
      </c>
      <c r="E1074" t="s">
        <v>22</v>
      </c>
      <c r="F1074" t="s">
        <v>42</v>
      </c>
      <c r="G1074" t="s">
        <v>66</v>
      </c>
      <c r="H1074">
        <v>36</v>
      </c>
      <c r="I1074" s="1">
        <v>42677</v>
      </c>
      <c r="K1074" s="3">
        <v>0</v>
      </c>
      <c r="L1074" t="s">
        <v>25</v>
      </c>
      <c r="M1074" t="s">
        <v>70</v>
      </c>
      <c r="N1074" s="2">
        <f>Employee_Data[[#This Row],[Basic Salary]]*10%</f>
        <v>0</v>
      </c>
      <c r="O1074" s="4">
        <f>Employee_Data[[#This Row],[Basic Salary]]*7.5%</f>
        <v>0</v>
      </c>
      <c r="P1074" s="2">
        <f>Employee_Data[[#This Row],[Basic Salary]]*3%</f>
        <v>0</v>
      </c>
      <c r="Q1074" s="2">
        <f>SUM(Employee_Data[[#This Row],[Basic Salary]],Employee_Data[[#This Row],[HRA]],Employee_Data[[#This Row],[MA]],Employee_Data[[#This Row],[TA]])</f>
        <v>0</v>
      </c>
      <c r="R1074" s="4">
        <f>Employee_Data[[#This Row],[Basic Salary]]*12.5%</f>
        <v>0</v>
      </c>
      <c r="S1074" s="2">
        <f>Employee_Data[[#This Row],[Annual Salary]]/12</f>
        <v>0</v>
      </c>
    </row>
    <row r="1075" spans="1:19" x14ac:dyDescent="0.3">
      <c r="A1075" t="s">
        <v>1084</v>
      </c>
      <c r="B1075" t="s">
        <v>1085</v>
      </c>
      <c r="C1075" t="s">
        <v>69</v>
      </c>
      <c r="E1075" t="s">
        <v>22</v>
      </c>
      <c r="F1075" t="s">
        <v>42</v>
      </c>
      <c r="G1075" t="s">
        <v>66</v>
      </c>
      <c r="H1075">
        <v>55</v>
      </c>
      <c r="I1075" s="1">
        <v>41133</v>
      </c>
      <c r="K1075" s="3">
        <v>0.05</v>
      </c>
      <c r="L1075" t="s">
        <v>25</v>
      </c>
      <c r="M1075" t="s">
        <v>48</v>
      </c>
      <c r="N1075" s="2">
        <f>Employee_Data[[#This Row],[Basic Salary]]*10%</f>
        <v>0</v>
      </c>
      <c r="O1075" s="4">
        <f>Employee_Data[[#This Row],[Basic Salary]]*7.5%</f>
        <v>0</v>
      </c>
      <c r="P1075" s="2">
        <f>Employee_Data[[#This Row],[Basic Salary]]*3%</f>
        <v>0</v>
      </c>
      <c r="Q1075" s="2">
        <f>SUM(Employee_Data[[#This Row],[Basic Salary]],Employee_Data[[#This Row],[HRA]],Employee_Data[[#This Row],[MA]],Employee_Data[[#This Row],[TA]])</f>
        <v>0</v>
      </c>
      <c r="R1075" s="4">
        <f>Employee_Data[[#This Row],[Basic Salary]]*12.5%</f>
        <v>0</v>
      </c>
      <c r="S1075" s="2">
        <f>Employee_Data[[#This Row],[Annual Salary]]/12</f>
        <v>0</v>
      </c>
    </row>
    <row r="1076" spans="1:19" x14ac:dyDescent="0.3">
      <c r="A1076" t="s">
        <v>1086</v>
      </c>
      <c r="B1076" t="s">
        <v>1087</v>
      </c>
      <c r="C1076" t="s">
        <v>292</v>
      </c>
      <c r="E1076" t="s">
        <v>31</v>
      </c>
      <c r="F1076" t="s">
        <v>42</v>
      </c>
      <c r="G1076" t="s">
        <v>24</v>
      </c>
      <c r="H1076">
        <v>44</v>
      </c>
      <c r="I1076" s="1">
        <v>43087</v>
      </c>
      <c r="L1076" t="s">
        <v>37</v>
      </c>
      <c r="M1076" t="s">
        <v>38</v>
      </c>
      <c r="N1076" s="2">
        <f>Employee_Data[[#This Row],[Basic Salary]]*10%</f>
        <v>0</v>
      </c>
      <c r="O1076" s="4">
        <f>Employee_Data[[#This Row],[Basic Salary]]*7.5%</f>
        <v>0</v>
      </c>
      <c r="P1076" s="2">
        <f>Employee_Data[[#This Row],[Basic Salary]]*3%</f>
        <v>0</v>
      </c>
      <c r="Q1076" s="2">
        <f>SUM(Employee_Data[[#This Row],[Basic Salary]],Employee_Data[[#This Row],[HRA]],Employee_Data[[#This Row],[MA]],Employee_Data[[#This Row],[TA]])</f>
        <v>0</v>
      </c>
      <c r="R1076" s="4">
        <f>Employee_Data[[#This Row],[Basic Salary]]*12.5%</f>
        <v>0</v>
      </c>
      <c r="S1076" s="2">
        <f>Employee_Data[[#This Row],[Annual Salary]]/12</f>
        <v>0</v>
      </c>
    </row>
    <row r="1077" spans="1:19" x14ac:dyDescent="0.3">
      <c r="A1077" t="s">
        <v>1088</v>
      </c>
      <c r="B1077" t="s">
        <v>1089</v>
      </c>
      <c r="C1077" t="s">
        <v>69</v>
      </c>
      <c r="E1077" t="s">
        <v>36</v>
      </c>
      <c r="G1077" t="s">
        <v>43</v>
      </c>
      <c r="H1077">
        <v>31</v>
      </c>
      <c r="I1077" s="1">
        <v>44696</v>
      </c>
      <c r="K1077" s="3">
        <v>0.05</v>
      </c>
      <c r="L1077" t="s">
        <v>137</v>
      </c>
      <c r="M1077" t="s">
        <v>289</v>
      </c>
      <c r="N1077" s="2">
        <f>Employee_Data[[#This Row],[Basic Salary]]*10%</f>
        <v>0</v>
      </c>
      <c r="O1077" s="4">
        <f>Employee_Data[[#This Row],[Basic Salary]]*7.5%</f>
        <v>0</v>
      </c>
      <c r="P1077" s="2">
        <f>Employee_Data[[#This Row],[Basic Salary]]*3%</f>
        <v>0</v>
      </c>
      <c r="Q1077" s="2">
        <f>SUM(Employee_Data[[#This Row],[Basic Salary]],Employee_Data[[#This Row],[HRA]],Employee_Data[[#This Row],[MA]],Employee_Data[[#This Row],[TA]])</f>
        <v>0</v>
      </c>
      <c r="R1077" s="4">
        <f>Employee_Data[[#This Row],[Basic Salary]]*12.5%</f>
        <v>0</v>
      </c>
      <c r="S1077" s="2">
        <f>Employee_Data[[#This Row],[Annual Salary]]/12</f>
        <v>0</v>
      </c>
    </row>
    <row r="1078" spans="1:19" x14ac:dyDescent="0.3">
      <c r="A1078" t="s">
        <v>591</v>
      </c>
      <c r="B1078" t="s">
        <v>592</v>
      </c>
      <c r="C1078" t="s">
        <v>89</v>
      </c>
      <c r="D1078" t="s">
        <v>30</v>
      </c>
      <c r="E1078" t="s">
        <v>56</v>
      </c>
      <c r="G1078" t="s">
        <v>84</v>
      </c>
      <c r="H1078">
        <v>42</v>
      </c>
      <c r="I1078" s="1">
        <v>43508</v>
      </c>
      <c r="L1078" t="s">
        <v>25</v>
      </c>
      <c r="M1078" t="s">
        <v>48</v>
      </c>
      <c r="N1078" s="2">
        <f>Employee_Data[[#This Row],[Basic Salary]]*10%</f>
        <v>0</v>
      </c>
      <c r="O1078" s="4">
        <f>Employee_Data[[#This Row],[Basic Salary]]*7.5%</f>
        <v>0</v>
      </c>
      <c r="P1078" s="2">
        <f>Employee_Data[[#This Row],[Basic Salary]]*3%</f>
        <v>0</v>
      </c>
      <c r="Q1078" s="2">
        <f>SUM(Employee_Data[[#This Row],[Basic Salary]],Employee_Data[[#This Row],[HRA]],Employee_Data[[#This Row],[MA]],Employee_Data[[#This Row],[TA]])</f>
        <v>0</v>
      </c>
      <c r="R1078" s="4">
        <f>Employee_Data[[#This Row],[Basic Salary]]*12.5%</f>
        <v>0</v>
      </c>
      <c r="S1078" s="2">
        <f>Employee_Data[[#This Row],[Annual Salary]]/12</f>
        <v>0</v>
      </c>
    </row>
    <row r="1079" spans="1:19" x14ac:dyDescent="0.3">
      <c r="A1079" t="s">
        <v>593</v>
      </c>
      <c r="B1079" t="s">
        <v>594</v>
      </c>
      <c r="C1079" t="s">
        <v>164</v>
      </c>
      <c r="D1079" t="s">
        <v>4</v>
      </c>
      <c r="F1079" t="s">
        <v>23</v>
      </c>
      <c r="G1079" t="s">
        <v>43</v>
      </c>
      <c r="H1079">
        <v>52</v>
      </c>
      <c r="I1079" s="1">
        <v>39569</v>
      </c>
      <c r="K1079" s="3">
        <v>0</v>
      </c>
      <c r="L1079" t="s">
        <v>25</v>
      </c>
      <c r="M1079" t="s">
        <v>70</v>
      </c>
      <c r="N1079" s="2">
        <f>Employee_Data[[#This Row],[Basic Salary]]*10%</f>
        <v>0</v>
      </c>
      <c r="O1079" s="4">
        <f>Employee_Data[[#This Row],[Basic Salary]]*7.5%</f>
        <v>0</v>
      </c>
      <c r="P1079" s="2">
        <f>Employee_Data[[#This Row],[Basic Salary]]*3%</f>
        <v>0</v>
      </c>
      <c r="Q1079" s="2">
        <f>SUM(Employee_Data[[#This Row],[Basic Salary]],Employee_Data[[#This Row],[HRA]],Employee_Data[[#This Row],[MA]],Employee_Data[[#This Row],[TA]])</f>
        <v>0</v>
      </c>
      <c r="R1079" s="4">
        <f>Employee_Data[[#This Row],[Basic Salary]]*12.5%</f>
        <v>0</v>
      </c>
      <c r="S1079" s="2">
        <f>Employee_Data[[#This Row],[Annual Salary]]/12</f>
        <v>0</v>
      </c>
    </row>
    <row r="1080" spans="1:19" x14ac:dyDescent="0.3">
      <c r="A1080" t="s">
        <v>595</v>
      </c>
      <c r="B1080" t="s">
        <v>596</v>
      </c>
      <c r="C1080" t="s">
        <v>268</v>
      </c>
      <c r="D1080" t="s">
        <v>21</v>
      </c>
      <c r="G1080" t="s">
        <v>66</v>
      </c>
      <c r="H1080">
        <v>50</v>
      </c>
      <c r="J1080" s="2">
        <v>96099</v>
      </c>
      <c r="K1080" s="3">
        <v>0.11</v>
      </c>
      <c r="L1080" t="s">
        <v>25</v>
      </c>
      <c r="M1080" t="s">
        <v>32</v>
      </c>
      <c r="N1080" s="2">
        <f>Employee_Data[[#This Row],[Basic Salary]]*10%</f>
        <v>800.82500000000005</v>
      </c>
      <c r="O1080" s="4">
        <f>Employee_Data[[#This Row],[Basic Salary]]*7.5%</f>
        <v>600.61874999999998</v>
      </c>
      <c r="P1080" s="2">
        <f>Employee_Data[[#This Row],[Basic Salary]]*3%</f>
        <v>240.2475</v>
      </c>
      <c r="Q1080" s="2">
        <f>SUM(Employee_Data[[#This Row],[Basic Salary]],Employee_Data[[#This Row],[HRA]],Employee_Data[[#This Row],[MA]],Employee_Data[[#This Row],[TA]])</f>
        <v>9649.9412499999999</v>
      </c>
      <c r="R1080" s="4">
        <f>Employee_Data[[#This Row],[Basic Salary]]*12.5%</f>
        <v>1001.03125</v>
      </c>
      <c r="S1080" s="2">
        <f>Employee_Data[[#This Row],[Annual Salary]]/12</f>
        <v>8008.25</v>
      </c>
    </row>
    <row r="1081" spans="1:19" x14ac:dyDescent="0.3">
      <c r="A1081" t="s">
        <v>597</v>
      </c>
      <c r="B1081" t="s">
        <v>598</v>
      </c>
      <c r="C1081" t="s">
        <v>41</v>
      </c>
      <c r="D1081" t="s">
        <v>4</v>
      </c>
      <c r="F1081" t="s">
        <v>42</v>
      </c>
      <c r="G1081" t="s">
        <v>43</v>
      </c>
      <c r="H1081">
        <v>37</v>
      </c>
      <c r="I1081" s="1">
        <v>39873</v>
      </c>
      <c r="K1081" s="3">
        <v>0</v>
      </c>
      <c r="L1081" t="s">
        <v>25</v>
      </c>
      <c r="M1081" t="s">
        <v>32</v>
      </c>
      <c r="N1081" s="2">
        <f>Employee_Data[[#This Row],[Basic Salary]]*10%</f>
        <v>0</v>
      </c>
      <c r="O1081" s="4">
        <f>Employee_Data[[#This Row],[Basic Salary]]*7.5%</f>
        <v>0</v>
      </c>
      <c r="P1081" s="2">
        <f>Employee_Data[[#This Row],[Basic Salary]]*3%</f>
        <v>0</v>
      </c>
      <c r="Q1081" s="2">
        <f>SUM(Employee_Data[[#This Row],[Basic Salary]],Employee_Data[[#This Row],[HRA]],Employee_Data[[#This Row],[MA]],Employee_Data[[#This Row],[TA]])</f>
        <v>0</v>
      </c>
      <c r="R1081" s="4">
        <f>Employee_Data[[#This Row],[Basic Salary]]*12.5%</f>
        <v>0</v>
      </c>
      <c r="S1081" s="2">
        <f>Employee_Data[[#This Row],[Annual Salary]]/12</f>
        <v>0</v>
      </c>
    </row>
    <row r="1082" spans="1:19" x14ac:dyDescent="0.3">
      <c r="A1082" t="s">
        <v>599</v>
      </c>
      <c r="B1082" t="s">
        <v>600</v>
      </c>
      <c r="C1082" t="s">
        <v>405</v>
      </c>
      <c r="D1082" t="s">
        <v>30</v>
      </c>
      <c r="F1082" t="s">
        <v>23</v>
      </c>
      <c r="G1082" t="s">
        <v>24</v>
      </c>
      <c r="H1082">
        <v>58</v>
      </c>
      <c r="I1082" s="1">
        <v>41940</v>
      </c>
      <c r="J1082" s="2">
        <v>85094</v>
      </c>
      <c r="L1082" t="s">
        <v>37</v>
      </c>
      <c r="M1082" t="s">
        <v>62</v>
      </c>
      <c r="N1082" s="2">
        <f>Employee_Data[[#This Row],[Basic Salary]]*10%</f>
        <v>709.11666666666679</v>
      </c>
      <c r="O1082" s="4">
        <f>Employee_Data[[#This Row],[Basic Salary]]*7.5%</f>
        <v>531.83749999999998</v>
      </c>
      <c r="P1082" s="2">
        <f>Employee_Data[[#This Row],[Basic Salary]]*3%</f>
        <v>212.73500000000001</v>
      </c>
      <c r="Q1082" s="2">
        <f>SUM(Employee_Data[[#This Row],[Basic Salary]],Employee_Data[[#This Row],[HRA]],Employee_Data[[#This Row],[MA]],Employee_Data[[#This Row],[TA]])</f>
        <v>8544.8558333333349</v>
      </c>
      <c r="R1082" s="4">
        <f>Employee_Data[[#This Row],[Basic Salary]]*12.5%</f>
        <v>886.39583333333337</v>
      </c>
      <c r="S1082" s="2">
        <f>Employee_Data[[#This Row],[Annual Salary]]/12</f>
        <v>7091.166666666667</v>
      </c>
    </row>
    <row r="1083" spans="1:19" x14ac:dyDescent="0.3">
      <c r="A1083" t="s">
        <v>1785</v>
      </c>
      <c r="B1083" t="s">
        <v>1786</v>
      </c>
      <c r="C1083" t="s">
        <v>47</v>
      </c>
      <c r="D1083" t="s">
        <v>4</v>
      </c>
      <c r="E1083" t="s">
        <v>36</v>
      </c>
      <c r="G1083" t="s">
        <v>24</v>
      </c>
      <c r="H1083">
        <v>45</v>
      </c>
      <c r="I1083" s="1">
        <v>40097</v>
      </c>
      <c r="N1083" s="2">
        <f>Employee_Data[[#This Row],[Basic Salary]]*10%</f>
        <v>0</v>
      </c>
      <c r="O1083" s="4">
        <f>Employee_Data[[#This Row],[Basic Salary]]*7.5%</f>
        <v>0</v>
      </c>
      <c r="P1083" s="2">
        <f>Employee_Data[[#This Row],[Basic Salary]]*3%</f>
        <v>0</v>
      </c>
      <c r="Q1083" s="2">
        <f>SUM(Employee_Data[[#This Row],[Basic Salary]],Employee_Data[[#This Row],[HRA]],Employee_Data[[#This Row],[MA]],Employee_Data[[#This Row],[TA]])</f>
        <v>0</v>
      </c>
      <c r="R1083" s="4">
        <f>Employee_Data[[#This Row],[Basic Salary]]*12.5%</f>
        <v>0</v>
      </c>
      <c r="S1083" s="2">
        <f>Employee_Data[[#This Row],[Annual Salary]]/12</f>
        <v>0</v>
      </c>
    </row>
    <row r="1084" spans="1:19" x14ac:dyDescent="0.3">
      <c r="A1084" t="s">
        <v>1787</v>
      </c>
      <c r="B1084" t="s">
        <v>1788</v>
      </c>
      <c r="C1084" t="s">
        <v>408</v>
      </c>
      <c r="D1084" t="s">
        <v>21</v>
      </c>
      <c r="E1084" t="s">
        <v>31</v>
      </c>
      <c r="F1084" t="s">
        <v>42</v>
      </c>
      <c r="G1084" t="s">
        <v>66</v>
      </c>
      <c r="H1084">
        <v>37</v>
      </c>
      <c r="I1084" s="1">
        <v>40261</v>
      </c>
      <c r="N1084" s="2">
        <f>Employee_Data[[#This Row],[Basic Salary]]*10%</f>
        <v>0</v>
      </c>
      <c r="O1084" s="4">
        <f>Employee_Data[[#This Row],[Basic Salary]]*7.5%</f>
        <v>0</v>
      </c>
      <c r="P1084" s="2">
        <f>Employee_Data[[#This Row],[Basic Salary]]*3%</f>
        <v>0</v>
      </c>
      <c r="Q1084" s="2">
        <f>SUM(Employee_Data[[#This Row],[Basic Salary]],Employee_Data[[#This Row],[HRA]],Employee_Data[[#This Row],[MA]],Employee_Data[[#This Row],[TA]])</f>
        <v>0</v>
      </c>
      <c r="R1084" s="4">
        <f>Employee_Data[[#This Row],[Basic Salary]]*12.5%</f>
        <v>0</v>
      </c>
      <c r="S1084" s="2">
        <f>Employee_Data[[#This Row],[Annual Salary]]/12</f>
        <v>0</v>
      </c>
    </row>
    <row r="1085" spans="1:19" x14ac:dyDescent="0.3">
      <c r="A1085" t="s">
        <v>1789</v>
      </c>
      <c r="B1085" t="s">
        <v>40</v>
      </c>
      <c r="C1085" t="s">
        <v>89</v>
      </c>
      <c r="D1085" t="s">
        <v>4</v>
      </c>
      <c r="E1085" t="s">
        <v>31</v>
      </c>
      <c r="F1085" t="s">
        <v>42</v>
      </c>
      <c r="G1085" t="s">
        <v>43</v>
      </c>
      <c r="H1085">
        <v>46</v>
      </c>
      <c r="I1085" s="1">
        <v>44076</v>
      </c>
      <c r="N1085" s="2">
        <f>Employee_Data[[#This Row],[Basic Salary]]*10%</f>
        <v>0</v>
      </c>
      <c r="O1085" s="4">
        <f>Employee_Data[[#This Row],[Basic Salary]]*7.5%</f>
        <v>0</v>
      </c>
      <c r="P1085" s="2">
        <f>Employee_Data[[#This Row],[Basic Salary]]*3%</f>
        <v>0</v>
      </c>
      <c r="Q1085" s="2">
        <f>SUM(Employee_Data[[#This Row],[Basic Salary]],Employee_Data[[#This Row],[HRA]],Employee_Data[[#This Row],[MA]],Employee_Data[[#This Row],[TA]])</f>
        <v>0</v>
      </c>
      <c r="R1085" s="4">
        <f>Employee_Data[[#This Row],[Basic Salary]]*12.5%</f>
        <v>0</v>
      </c>
      <c r="S1085" s="2">
        <f>Employee_Data[[#This Row],[Annual Salary]]/12</f>
        <v>0</v>
      </c>
    </row>
    <row r="1086" spans="1:19" x14ac:dyDescent="0.3">
      <c r="A1086" t="s">
        <v>1790</v>
      </c>
      <c r="B1086" t="s">
        <v>1791</v>
      </c>
      <c r="C1086" t="s">
        <v>131</v>
      </c>
      <c r="D1086" t="s">
        <v>126</v>
      </c>
      <c r="E1086" t="s">
        <v>56</v>
      </c>
      <c r="F1086" t="s">
        <v>42</v>
      </c>
      <c r="G1086" t="s">
        <v>24</v>
      </c>
      <c r="H1086">
        <v>49</v>
      </c>
      <c r="I1086" s="1">
        <v>41927</v>
      </c>
      <c r="J1086" s="2">
        <v>52292</v>
      </c>
      <c r="K1086" s="3">
        <v>0</v>
      </c>
      <c r="L1086" t="s">
        <v>37</v>
      </c>
      <c r="M1086" t="s">
        <v>62</v>
      </c>
      <c r="N1086" s="2">
        <f>Employee_Data[[#This Row],[Basic Salary]]*10%</f>
        <v>435.76666666666671</v>
      </c>
      <c r="O1086" s="4">
        <f>Employee_Data[[#This Row],[Basic Salary]]*7.5%</f>
        <v>326.82499999999999</v>
      </c>
      <c r="P1086" s="2">
        <f>Employee_Data[[#This Row],[Basic Salary]]*3%</f>
        <v>130.73000000000002</v>
      </c>
      <c r="Q1086" s="2">
        <f>SUM(Employee_Data[[#This Row],[Basic Salary]],Employee_Data[[#This Row],[HRA]],Employee_Data[[#This Row],[MA]],Employee_Data[[#This Row],[TA]])</f>
        <v>5250.9883333333328</v>
      </c>
      <c r="R1086" s="4">
        <f>Employee_Data[[#This Row],[Basic Salary]]*12.5%</f>
        <v>544.70833333333337</v>
      </c>
      <c r="S1086" s="2">
        <f>Employee_Data[[#This Row],[Annual Salary]]/12</f>
        <v>4357.666666666667</v>
      </c>
    </row>
    <row r="1087" spans="1:19" x14ac:dyDescent="0.3">
      <c r="A1087" t="s">
        <v>1792</v>
      </c>
      <c r="B1087" t="s">
        <v>1793</v>
      </c>
      <c r="C1087" t="s">
        <v>83</v>
      </c>
      <c r="D1087" t="s">
        <v>126</v>
      </c>
      <c r="E1087" t="s">
        <v>31</v>
      </c>
      <c r="F1087" t="s">
        <v>42</v>
      </c>
      <c r="G1087" t="s">
        <v>66</v>
      </c>
      <c r="H1087">
        <v>53</v>
      </c>
      <c r="I1087" s="1">
        <v>39626</v>
      </c>
      <c r="J1087" s="2">
        <v>69110</v>
      </c>
      <c r="K1087" s="3">
        <v>0</v>
      </c>
      <c r="L1087" t="s">
        <v>25</v>
      </c>
      <c r="M1087" t="s">
        <v>44</v>
      </c>
      <c r="N1087" s="2">
        <f>Employee_Data[[#This Row],[Basic Salary]]*10%</f>
        <v>575.91666666666674</v>
      </c>
      <c r="O1087" s="4">
        <f>Employee_Data[[#This Row],[Basic Salary]]*7.5%</f>
        <v>431.9375</v>
      </c>
      <c r="P1087" s="2">
        <f>Employee_Data[[#This Row],[Basic Salary]]*3%</f>
        <v>172.77500000000001</v>
      </c>
      <c r="Q1087" s="2">
        <f>SUM(Employee_Data[[#This Row],[Basic Salary]],Employee_Data[[#This Row],[HRA]],Employee_Data[[#This Row],[MA]],Employee_Data[[#This Row],[TA]])</f>
        <v>6939.7958333333336</v>
      </c>
      <c r="R1087" s="4">
        <f>Employee_Data[[#This Row],[Basic Salary]]*12.5%</f>
        <v>719.89583333333337</v>
      </c>
      <c r="S1087" s="2">
        <f>Employee_Data[[#This Row],[Annual Salary]]/12</f>
        <v>5759.166666666667</v>
      </c>
    </row>
    <row r="1088" spans="1:19" x14ac:dyDescent="0.3">
      <c r="A1088" t="s">
        <v>626</v>
      </c>
      <c r="B1088" t="s">
        <v>627</v>
      </c>
      <c r="C1088" t="s">
        <v>198</v>
      </c>
      <c r="D1088" t="s">
        <v>21</v>
      </c>
      <c r="E1088" t="s">
        <v>31</v>
      </c>
      <c r="F1088" t="s">
        <v>23</v>
      </c>
      <c r="G1088" t="s">
        <v>24</v>
      </c>
      <c r="H1088">
        <v>55</v>
      </c>
      <c r="I1088" s="1">
        <v>42134</v>
      </c>
      <c r="J1088" s="2">
        <v>121976</v>
      </c>
      <c r="K1088" s="3">
        <v>0</v>
      </c>
      <c r="N1088" s="2">
        <f>Employee_Data[[#This Row],[Basic Salary]]*10%</f>
        <v>1016.4666666666667</v>
      </c>
      <c r="O1088" s="4">
        <f>Employee_Data[[#This Row],[Basic Salary]]*7.5%</f>
        <v>762.34999999999991</v>
      </c>
      <c r="P1088" s="2">
        <f>Employee_Data[[#This Row],[Basic Salary]]*3%</f>
        <v>304.94</v>
      </c>
      <c r="Q1088" s="2">
        <f>SUM(Employee_Data[[#This Row],[Basic Salary]],Employee_Data[[#This Row],[HRA]],Employee_Data[[#This Row],[MA]],Employee_Data[[#This Row],[TA]])</f>
        <v>12248.423333333334</v>
      </c>
      <c r="R1088" s="4">
        <f>Employee_Data[[#This Row],[Basic Salary]]*12.5%</f>
        <v>1270.5833333333333</v>
      </c>
      <c r="S1088" s="2">
        <f>Employee_Data[[#This Row],[Annual Salary]]/12</f>
        <v>10164.666666666666</v>
      </c>
    </row>
    <row r="1089" spans="1:19" x14ac:dyDescent="0.3">
      <c r="A1089" t="s">
        <v>628</v>
      </c>
      <c r="B1089" t="s">
        <v>629</v>
      </c>
      <c r="C1089" t="s">
        <v>83</v>
      </c>
      <c r="D1089" t="s">
        <v>30</v>
      </c>
      <c r="E1089" t="s">
        <v>31</v>
      </c>
      <c r="F1089" t="s">
        <v>42</v>
      </c>
      <c r="G1089" t="s">
        <v>24</v>
      </c>
      <c r="H1089">
        <v>32</v>
      </c>
      <c r="I1089" s="1">
        <v>44754</v>
      </c>
      <c r="J1089" s="2">
        <v>126464</v>
      </c>
      <c r="K1089" s="3">
        <v>0.15</v>
      </c>
      <c r="N1089" s="2">
        <f>Employee_Data[[#This Row],[Basic Salary]]*10%</f>
        <v>1053.8666666666666</v>
      </c>
      <c r="O1089" s="4">
        <f>Employee_Data[[#This Row],[Basic Salary]]*7.5%</f>
        <v>790.4</v>
      </c>
      <c r="P1089" s="2">
        <f>Employee_Data[[#This Row],[Basic Salary]]*3%</f>
        <v>316.15999999999997</v>
      </c>
      <c r="Q1089" s="2">
        <f>SUM(Employee_Data[[#This Row],[Basic Salary]],Employee_Data[[#This Row],[HRA]],Employee_Data[[#This Row],[MA]],Employee_Data[[#This Row],[TA]])</f>
        <v>12699.093333333332</v>
      </c>
      <c r="R1089" s="4">
        <f>Employee_Data[[#This Row],[Basic Salary]]*12.5%</f>
        <v>1317.3333333333333</v>
      </c>
      <c r="S1089" s="2">
        <f>Employee_Data[[#This Row],[Annual Salary]]/12</f>
        <v>10538.666666666666</v>
      </c>
    </row>
    <row r="1090" spans="1:19" x14ac:dyDescent="0.3">
      <c r="A1090" t="s">
        <v>630</v>
      </c>
      <c r="B1090" t="s">
        <v>631</v>
      </c>
      <c r="C1090" t="s">
        <v>89</v>
      </c>
      <c r="D1090" t="s">
        <v>55</v>
      </c>
      <c r="E1090" t="s">
        <v>22</v>
      </c>
      <c r="F1090" t="s">
        <v>42</v>
      </c>
      <c r="G1090" t="s">
        <v>24</v>
      </c>
      <c r="H1090">
        <v>53</v>
      </c>
      <c r="I1090" s="1">
        <v>38600</v>
      </c>
      <c r="J1090" s="2">
        <v>234064</v>
      </c>
      <c r="K1090" s="3">
        <v>0.33</v>
      </c>
      <c r="N1090" s="2">
        <f>Employee_Data[[#This Row],[Basic Salary]]*10%</f>
        <v>1950.5333333333333</v>
      </c>
      <c r="O1090" s="4">
        <f>Employee_Data[[#This Row],[Basic Salary]]*7.5%</f>
        <v>1462.8999999999999</v>
      </c>
      <c r="P1090" s="2">
        <f>Employee_Data[[#This Row],[Basic Salary]]*3%</f>
        <v>585.16</v>
      </c>
      <c r="Q1090" s="2">
        <f>SUM(Employee_Data[[#This Row],[Basic Salary]],Employee_Data[[#This Row],[HRA]],Employee_Data[[#This Row],[MA]],Employee_Data[[#This Row],[TA]])</f>
        <v>23503.926666666666</v>
      </c>
      <c r="R1090" s="4">
        <f>Employee_Data[[#This Row],[Basic Salary]]*12.5%</f>
        <v>2438.1666666666665</v>
      </c>
      <c r="S1090" s="2">
        <f>Employee_Data[[#This Row],[Annual Salary]]/12</f>
        <v>19505.333333333332</v>
      </c>
    </row>
    <row r="1091" spans="1:19" x14ac:dyDescent="0.3">
      <c r="A1091" t="s">
        <v>632</v>
      </c>
      <c r="B1091" t="s">
        <v>633</v>
      </c>
      <c r="C1091" t="s">
        <v>54</v>
      </c>
      <c r="D1091" t="s">
        <v>61</v>
      </c>
      <c r="E1091" t="s">
        <v>22</v>
      </c>
      <c r="F1091" t="s">
        <v>23</v>
      </c>
      <c r="G1091" t="s">
        <v>24</v>
      </c>
      <c r="H1091">
        <v>59</v>
      </c>
      <c r="I1091" s="1">
        <v>39463</v>
      </c>
      <c r="J1091" s="2">
        <v>81829</v>
      </c>
      <c r="K1091" s="3">
        <v>0</v>
      </c>
      <c r="N1091" s="2">
        <f>Employee_Data[[#This Row],[Basic Salary]]*10%</f>
        <v>681.9083333333333</v>
      </c>
      <c r="O1091" s="4">
        <f>Employee_Data[[#This Row],[Basic Salary]]*7.5%</f>
        <v>511.43124999999998</v>
      </c>
      <c r="P1091" s="2">
        <f>Employee_Data[[#This Row],[Basic Salary]]*3%</f>
        <v>204.57249999999999</v>
      </c>
      <c r="Q1091" s="2">
        <f>SUM(Employee_Data[[#This Row],[Basic Salary]],Employee_Data[[#This Row],[HRA]],Employee_Data[[#This Row],[MA]],Employee_Data[[#This Row],[TA]])</f>
        <v>8216.9954166666666</v>
      </c>
      <c r="R1091" s="4">
        <f>Employee_Data[[#This Row],[Basic Salary]]*12.5%</f>
        <v>852.38541666666663</v>
      </c>
      <c r="S1091" s="2">
        <f>Employee_Data[[#This Row],[Annual Salary]]/12</f>
        <v>6819.083333333333</v>
      </c>
    </row>
    <row r="1092" spans="1:19" x14ac:dyDescent="0.3">
      <c r="A1092" t="s">
        <v>634</v>
      </c>
      <c r="B1092" t="s">
        <v>635</v>
      </c>
      <c r="C1092" t="s">
        <v>47</v>
      </c>
      <c r="D1092" t="s">
        <v>126</v>
      </c>
      <c r="E1092" t="s">
        <v>31</v>
      </c>
      <c r="F1092" t="s">
        <v>42</v>
      </c>
      <c r="G1092" t="s">
        <v>24</v>
      </c>
      <c r="H1092">
        <v>26</v>
      </c>
      <c r="I1092" s="1">
        <v>44672</v>
      </c>
      <c r="J1092" s="2">
        <v>193971</v>
      </c>
      <c r="K1092" s="3">
        <v>0.22</v>
      </c>
      <c r="N1092" s="2">
        <f>Employee_Data[[#This Row],[Basic Salary]]*10%</f>
        <v>1616.4250000000002</v>
      </c>
      <c r="O1092" s="4">
        <f>Employee_Data[[#This Row],[Basic Salary]]*7.5%</f>
        <v>1212.3187499999999</v>
      </c>
      <c r="P1092" s="2">
        <f>Employee_Data[[#This Row],[Basic Salary]]*3%</f>
        <v>484.92750000000001</v>
      </c>
      <c r="Q1092" s="2">
        <f>SUM(Employee_Data[[#This Row],[Basic Salary]],Employee_Data[[#This Row],[HRA]],Employee_Data[[#This Row],[MA]],Employee_Data[[#This Row],[TA]])</f>
        <v>19477.921249999999</v>
      </c>
      <c r="R1092" s="4">
        <f>Employee_Data[[#This Row],[Basic Salary]]*12.5%</f>
        <v>2020.53125</v>
      </c>
      <c r="S1092" s="2">
        <f>Employee_Data[[#This Row],[Annual Salary]]/12</f>
        <v>16164.25</v>
      </c>
    </row>
    <row r="1093" spans="1:19" x14ac:dyDescent="0.3">
      <c r="A1093" t="s">
        <v>636</v>
      </c>
      <c r="B1093" t="s">
        <v>637</v>
      </c>
      <c r="C1093" t="s">
        <v>131</v>
      </c>
      <c r="D1093" t="s">
        <v>126</v>
      </c>
      <c r="E1093" t="s">
        <v>31</v>
      </c>
      <c r="F1093" t="s">
        <v>23</v>
      </c>
      <c r="G1093" t="s">
        <v>24</v>
      </c>
      <c r="H1093">
        <v>55</v>
      </c>
      <c r="I1093" s="1">
        <v>37120</v>
      </c>
      <c r="J1093" s="2">
        <v>47696</v>
      </c>
      <c r="K1093" s="3">
        <v>0</v>
      </c>
      <c r="N1093" s="2">
        <f>Employee_Data[[#This Row],[Basic Salary]]*10%</f>
        <v>397.4666666666667</v>
      </c>
      <c r="O1093" s="4">
        <f>Employee_Data[[#This Row],[Basic Salary]]*7.5%</f>
        <v>298.09999999999997</v>
      </c>
      <c r="P1093" s="2">
        <f>Employee_Data[[#This Row],[Basic Salary]]*3%</f>
        <v>119.24</v>
      </c>
      <c r="Q1093" s="2">
        <f>SUM(Employee_Data[[#This Row],[Basic Salary]],Employee_Data[[#This Row],[HRA]],Employee_Data[[#This Row],[MA]],Employee_Data[[#This Row],[TA]])</f>
        <v>4789.4733333333334</v>
      </c>
      <c r="R1093" s="4">
        <f>Employee_Data[[#This Row],[Basic Salary]]*12.5%</f>
        <v>496.83333333333331</v>
      </c>
      <c r="S1093" s="2">
        <f>Employee_Data[[#This Row],[Annual Salary]]/12</f>
        <v>3974.6666666666665</v>
      </c>
    </row>
    <row r="1094" spans="1:19" x14ac:dyDescent="0.3">
      <c r="A1094" t="s">
        <v>638</v>
      </c>
      <c r="B1094" t="s">
        <v>639</v>
      </c>
      <c r="C1094" t="s">
        <v>69</v>
      </c>
      <c r="D1094" t="s">
        <v>55</v>
      </c>
      <c r="E1094" t="s">
        <v>56</v>
      </c>
      <c r="F1094" t="s">
        <v>23</v>
      </c>
      <c r="G1094" t="s">
        <v>24</v>
      </c>
      <c r="H1094">
        <v>34</v>
      </c>
      <c r="I1094" s="1">
        <v>41472</v>
      </c>
      <c r="J1094" s="2">
        <v>116676</v>
      </c>
      <c r="K1094" s="3">
        <v>0.1</v>
      </c>
      <c r="N1094" s="2">
        <f>Employee_Data[[#This Row],[Basic Salary]]*10%</f>
        <v>972.30000000000007</v>
      </c>
      <c r="O1094" s="4">
        <f>Employee_Data[[#This Row],[Basic Salary]]*7.5%</f>
        <v>729.22500000000002</v>
      </c>
      <c r="P1094" s="2">
        <f>Employee_Data[[#This Row],[Basic Salary]]*3%</f>
        <v>291.69</v>
      </c>
      <c r="Q1094" s="2">
        <f>SUM(Employee_Data[[#This Row],[Basic Salary]],Employee_Data[[#This Row],[HRA]],Employee_Data[[#This Row],[MA]],Employee_Data[[#This Row],[TA]])</f>
        <v>11716.215</v>
      </c>
      <c r="R1094" s="4">
        <f>Employee_Data[[#This Row],[Basic Salary]]*12.5%</f>
        <v>1215.375</v>
      </c>
      <c r="S1094" s="2">
        <f>Employee_Data[[#This Row],[Annual Salary]]/12</f>
        <v>9723</v>
      </c>
    </row>
    <row r="1095" spans="1:19" x14ac:dyDescent="0.3">
      <c r="A1095" t="s">
        <v>640</v>
      </c>
      <c r="B1095" t="s">
        <v>641</v>
      </c>
      <c r="C1095" t="s">
        <v>69</v>
      </c>
      <c r="D1095" t="s">
        <v>80</v>
      </c>
      <c r="E1095" t="s">
        <v>31</v>
      </c>
      <c r="F1095" t="s">
        <v>23</v>
      </c>
      <c r="G1095" t="s">
        <v>66</v>
      </c>
      <c r="H1095">
        <v>45</v>
      </c>
      <c r="I1095" s="1">
        <v>41004</v>
      </c>
      <c r="J1095" s="2">
        <v>104162</v>
      </c>
      <c r="K1095" s="3">
        <v>0.09</v>
      </c>
      <c r="N1095" s="2">
        <f>Employee_Data[[#This Row],[Basic Salary]]*10%</f>
        <v>868.01666666666665</v>
      </c>
      <c r="O1095" s="4">
        <f>Employee_Data[[#This Row],[Basic Salary]]*7.5%</f>
        <v>651.01249999999993</v>
      </c>
      <c r="P1095" s="2">
        <f>Employee_Data[[#This Row],[Basic Salary]]*3%</f>
        <v>260.40499999999997</v>
      </c>
      <c r="Q1095" s="2">
        <f>SUM(Employee_Data[[#This Row],[Basic Salary]],Employee_Data[[#This Row],[HRA]],Employee_Data[[#This Row],[MA]],Employee_Data[[#This Row],[TA]])</f>
        <v>10459.600833333334</v>
      </c>
      <c r="R1095" s="4">
        <f>Employee_Data[[#This Row],[Basic Salary]]*12.5%</f>
        <v>1085.0208333333333</v>
      </c>
      <c r="S1095" s="2">
        <f>Employee_Data[[#This Row],[Annual Salary]]/12</f>
        <v>8680.1666666666661</v>
      </c>
    </row>
    <row r="1096" spans="1:19" x14ac:dyDescent="0.3">
      <c r="A1096" t="s">
        <v>642</v>
      </c>
      <c r="B1096" t="s">
        <v>643</v>
      </c>
      <c r="C1096" t="s">
        <v>232</v>
      </c>
      <c r="D1096" t="s">
        <v>126</v>
      </c>
      <c r="E1096" t="s">
        <v>56</v>
      </c>
      <c r="F1096" t="s">
        <v>23</v>
      </c>
      <c r="G1096" t="s">
        <v>24</v>
      </c>
      <c r="H1096">
        <v>29</v>
      </c>
      <c r="I1096" s="1">
        <v>44665</v>
      </c>
      <c r="J1096" s="2">
        <v>86226</v>
      </c>
      <c r="K1096" s="3">
        <v>0</v>
      </c>
      <c r="N1096" s="2">
        <f>Employee_Data[[#This Row],[Basic Salary]]*10%</f>
        <v>718.55000000000007</v>
      </c>
      <c r="O1096" s="4">
        <f>Employee_Data[[#This Row],[Basic Salary]]*7.5%</f>
        <v>538.91250000000002</v>
      </c>
      <c r="P1096" s="2">
        <f>Employee_Data[[#This Row],[Basic Salary]]*3%</f>
        <v>215.565</v>
      </c>
      <c r="Q1096" s="2">
        <f>SUM(Employee_Data[[#This Row],[Basic Salary]],Employee_Data[[#This Row],[HRA]],Employee_Data[[#This Row],[MA]],Employee_Data[[#This Row],[TA]])</f>
        <v>8658.5275000000001</v>
      </c>
      <c r="R1096" s="4">
        <f>Employee_Data[[#This Row],[Basic Salary]]*12.5%</f>
        <v>898.1875</v>
      </c>
      <c r="S1096" s="2">
        <f>Employee_Data[[#This Row],[Annual Salary]]/12</f>
        <v>7185.5</v>
      </c>
    </row>
    <row r="1097" spans="1:19" x14ac:dyDescent="0.3">
      <c r="A1097" t="s">
        <v>644</v>
      </c>
      <c r="B1097" t="s">
        <v>645</v>
      </c>
      <c r="C1097" t="s">
        <v>47</v>
      </c>
      <c r="D1097" t="s">
        <v>80</v>
      </c>
      <c r="E1097" t="s">
        <v>56</v>
      </c>
      <c r="F1097" t="s">
        <v>42</v>
      </c>
      <c r="G1097" t="s">
        <v>43</v>
      </c>
      <c r="H1097">
        <v>45</v>
      </c>
      <c r="I1097" s="1">
        <v>40693</v>
      </c>
      <c r="J1097" s="2">
        <v>172206</v>
      </c>
      <c r="K1097" s="3">
        <v>0.28999999999999998</v>
      </c>
      <c r="N1097" s="2">
        <f>Employee_Data[[#This Row],[Basic Salary]]*10%</f>
        <v>1435.0500000000002</v>
      </c>
      <c r="O1097" s="4">
        <f>Employee_Data[[#This Row],[Basic Salary]]*7.5%</f>
        <v>1076.2874999999999</v>
      </c>
      <c r="P1097" s="2">
        <f>Employee_Data[[#This Row],[Basic Salary]]*3%</f>
        <v>430.51499999999999</v>
      </c>
      <c r="Q1097" s="2">
        <f>SUM(Employee_Data[[#This Row],[Basic Salary]],Employee_Data[[#This Row],[HRA]],Employee_Data[[#This Row],[MA]],Employee_Data[[#This Row],[TA]])</f>
        <v>17292.352499999997</v>
      </c>
      <c r="R1097" s="4">
        <f>Employee_Data[[#This Row],[Basic Salary]]*12.5%</f>
        <v>1793.8125</v>
      </c>
      <c r="S1097" s="2">
        <f>Employee_Data[[#This Row],[Annual Salary]]/12</f>
        <v>14350.5</v>
      </c>
    </row>
    <row r="1098" spans="1:19" x14ac:dyDescent="0.3">
      <c r="A1098" t="s">
        <v>646</v>
      </c>
      <c r="B1098" t="s">
        <v>647</v>
      </c>
      <c r="C1098" t="s">
        <v>247</v>
      </c>
      <c r="D1098" t="s">
        <v>126</v>
      </c>
      <c r="E1098" t="s">
        <v>56</v>
      </c>
      <c r="F1098" t="s">
        <v>23</v>
      </c>
      <c r="G1098" t="s">
        <v>43</v>
      </c>
      <c r="H1098">
        <v>34</v>
      </c>
      <c r="I1098" s="1">
        <v>41005</v>
      </c>
      <c r="J1098" s="2">
        <v>55985</v>
      </c>
      <c r="K1098" s="3">
        <v>0</v>
      </c>
      <c r="N1098" s="2">
        <f>Employee_Data[[#This Row],[Basic Salary]]*10%</f>
        <v>466.54166666666674</v>
      </c>
      <c r="O1098" s="4">
        <f>Employee_Data[[#This Row],[Basic Salary]]*7.5%</f>
        <v>349.90625</v>
      </c>
      <c r="P1098" s="2">
        <f>Employee_Data[[#This Row],[Basic Salary]]*3%</f>
        <v>139.96250000000001</v>
      </c>
      <c r="Q1098" s="2">
        <f>SUM(Employee_Data[[#This Row],[Basic Salary]],Employee_Data[[#This Row],[HRA]],Employee_Data[[#This Row],[MA]],Employee_Data[[#This Row],[TA]])</f>
        <v>5621.8270833333336</v>
      </c>
      <c r="R1098" s="4">
        <f>Employee_Data[[#This Row],[Basic Salary]]*12.5%</f>
        <v>583.17708333333337</v>
      </c>
      <c r="S1098" s="2">
        <f>Employee_Data[[#This Row],[Annual Salary]]/12</f>
        <v>4665.416666666667</v>
      </c>
    </row>
    <row r="1099" spans="1:19" x14ac:dyDescent="0.3">
      <c r="A1099" t="s">
        <v>648</v>
      </c>
      <c r="B1099" t="s">
        <v>649</v>
      </c>
      <c r="C1099" t="s">
        <v>101</v>
      </c>
      <c r="D1099" t="s">
        <v>4</v>
      </c>
      <c r="E1099" t="s">
        <v>31</v>
      </c>
      <c r="F1099" t="s">
        <v>23</v>
      </c>
      <c r="G1099" t="s">
        <v>43</v>
      </c>
      <c r="H1099">
        <v>26</v>
      </c>
      <c r="I1099" s="1">
        <v>44353</v>
      </c>
      <c r="J1099" s="2">
        <v>61481</v>
      </c>
      <c r="K1099" s="3">
        <v>0</v>
      </c>
      <c r="N1099" s="2">
        <f>Employee_Data[[#This Row],[Basic Salary]]*10%</f>
        <v>512.3416666666667</v>
      </c>
      <c r="O1099" s="4">
        <f>Employee_Data[[#This Row],[Basic Salary]]*7.5%</f>
        <v>384.25625000000002</v>
      </c>
      <c r="P1099" s="2">
        <f>Employee_Data[[#This Row],[Basic Salary]]*3%</f>
        <v>153.70250000000001</v>
      </c>
      <c r="Q1099" s="2">
        <f>SUM(Employee_Data[[#This Row],[Basic Salary]],Employee_Data[[#This Row],[HRA]],Employee_Data[[#This Row],[MA]],Employee_Data[[#This Row],[TA]])</f>
        <v>6173.7170833333339</v>
      </c>
      <c r="R1099" s="4">
        <f>Employee_Data[[#This Row],[Basic Salary]]*12.5%</f>
        <v>640.42708333333337</v>
      </c>
      <c r="S1099" s="2">
        <f>Employee_Data[[#This Row],[Annual Salary]]/12</f>
        <v>5123.416666666667</v>
      </c>
    </row>
    <row r="1100" spans="1:19" x14ac:dyDescent="0.3">
      <c r="A1100" t="s">
        <v>650</v>
      </c>
      <c r="B1100" t="s">
        <v>651</v>
      </c>
      <c r="C1100" t="s">
        <v>69</v>
      </c>
      <c r="D1100" t="s">
        <v>30</v>
      </c>
      <c r="E1100" t="s">
        <v>36</v>
      </c>
      <c r="F1100" t="s">
        <v>42</v>
      </c>
      <c r="G1100" t="s">
        <v>43</v>
      </c>
      <c r="H1100">
        <v>30</v>
      </c>
      <c r="I1100" s="1">
        <v>43065</v>
      </c>
      <c r="J1100" s="2">
        <v>124295</v>
      </c>
      <c r="K1100" s="3">
        <v>7.0000000000000007E-2</v>
      </c>
      <c r="N1100" s="2">
        <f>Employee_Data[[#This Row],[Basic Salary]]*10%</f>
        <v>1035.7916666666667</v>
      </c>
      <c r="O1100" s="4">
        <f>Employee_Data[[#This Row],[Basic Salary]]*7.5%</f>
        <v>776.84374999999989</v>
      </c>
      <c r="P1100" s="2">
        <f>Employee_Data[[#This Row],[Basic Salary]]*3%</f>
        <v>310.73749999999995</v>
      </c>
      <c r="Q1100" s="2">
        <f>SUM(Employee_Data[[#This Row],[Basic Salary]],Employee_Data[[#This Row],[HRA]],Employee_Data[[#This Row],[MA]],Employee_Data[[#This Row],[TA]])</f>
        <v>12481.289583333331</v>
      </c>
      <c r="R1100" s="4">
        <f>Employee_Data[[#This Row],[Basic Salary]]*12.5%</f>
        <v>1294.7395833333333</v>
      </c>
      <c r="S1100" s="2">
        <f>Employee_Data[[#This Row],[Annual Salary]]/12</f>
        <v>10357.916666666666</v>
      </c>
    </row>
    <row r="1101" spans="1:19" x14ac:dyDescent="0.3">
      <c r="A1101" t="s">
        <v>652</v>
      </c>
      <c r="B1101" t="s">
        <v>653</v>
      </c>
      <c r="C1101" t="s">
        <v>83</v>
      </c>
      <c r="D1101" t="s">
        <v>30</v>
      </c>
      <c r="E1101" t="s">
        <v>36</v>
      </c>
      <c r="F1101" t="s">
        <v>42</v>
      </c>
      <c r="G1101" t="s">
        <v>24</v>
      </c>
      <c r="H1101">
        <v>55</v>
      </c>
      <c r="I1101" s="1">
        <v>36199</v>
      </c>
      <c r="J1101" s="2">
        <v>132894</v>
      </c>
      <c r="K1101" s="3">
        <v>0.15</v>
      </c>
      <c r="N1101" s="2">
        <f>Employee_Data[[#This Row],[Basic Salary]]*10%</f>
        <v>1107.45</v>
      </c>
      <c r="O1101" s="4">
        <f>Employee_Data[[#This Row],[Basic Salary]]*7.5%</f>
        <v>830.58749999999998</v>
      </c>
      <c r="P1101" s="2">
        <f>Employee_Data[[#This Row],[Basic Salary]]*3%</f>
        <v>332.23500000000001</v>
      </c>
      <c r="Q1101" s="2">
        <f>SUM(Employee_Data[[#This Row],[Basic Salary]],Employee_Data[[#This Row],[HRA]],Employee_Data[[#This Row],[MA]],Employee_Data[[#This Row],[TA]])</f>
        <v>13344.772500000001</v>
      </c>
      <c r="R1101" s="4">
        <f>Employee_Data[[#This Row],[Basic Salary]]*12.5%</f>
        <v>1384.3125</v>
      </c>
      <c r="S1101" s="2">
        <f>Employee_Data[[#This Row],[Annual Salary]]/12</f>
        <v>11074.5</v>
      </c>
    </row>
    <row r="1102" spans="1:19" x14ac:dyDescent="0.3">
      <c r="A1102" t="s">
        <v>654</v>
      </c>
      <c r="B1102" t="s">
        <v>655</v>
      </c>
      <c r="C1102" t="s">
        <v>180</v>
      </c>
      <c r="D1102" t="s">
        <v>4</v>
      </c>
      <c r="E1102" t="s">
        <v>31</v>
      </c>
      <c r="F1102" t="s">
        <v>23</v>
      </c>
      <c r="G1102" t="s">
        <v>24</v>
      </c>
      <c r="H1102">
        <v>47</v>
      </c>
      <c r="I1102" s="1">
        <v>37331</v>
      </c>
      <c r="J1102" s="2">
        <v>88839</v>
      </c>
      <c r="K1102" s="3">
        <v>0.05</v>
      </c>
      <c r="N1102" s="2">
        <f>Employee_Data[[#This Row],[Basic Salary]]*10%</f>
        <v>740.32500000000005</v>
      </c>
      <c r="O1102" s="4">
        <f>Employee_Data[[#This Row],[Basic Salary]]*7.5%</f>
        <v>555.24374999999998</v>
      </c>
      <c r="P1102" s="2">
        <f>Employee_Data[[#This Row],[Basic Salary]]*3%</f>
        <v>222.0975</v>
      </c>
      <c r="Q1102" s="2">
        <f>SUM(Employee_Data[[#This Row],[Basic Salary]],Employee_Data[[#This Row],[HRA]],Employee_Data[[#This Row],[MA]],Employee_Data[[#This Row],[TA]])</f>
        <v>8920.9162500000002</v>
      </c>
      <c r="R1102" s="4">
        <f>Employee_Data[[#This Row],[Basic Salary]]*12.5%</f>
        <v>925.40625</v>
      </c>
      <c r="S1102" s="2">
        <f>Employee_Data[[#This Row],[Annual Salary]]/12</f>
        <v>7403.25</v>
      </c>
    </row>
    <row r="1103" spans="1:19" x14ac:dyDescent="0.3">
      <c r="A1103" t="s">
        <v>656</v>
      </c>
      <c r="B1103" t="s">
        <v>657</v>
      </c>
      <c r="C1103" t="s">
        <v>198</v>
      </c>
      <c r="D1103" t="s">
        <v>21</v>
      </c>
      <c r="E1103" t="s">
        <v>22</v>
      </c>
      <c r="F1103" t="s">
        <v>23</v>
      </c>
      <c r="G1103" t="s">
        <v>43</v>
      </c>
      <c r="H1103">
        <v>51</v>
      </c>
      <c r="I1103" s="1">
        <v>38519</v>
      </c>
      <c r="J1103" s="2">
        <v>78107</v>
      </c>
      <c r="K1103" s="3">
        <v>0</v>
      </c>
      <c r="N1103" s="2">
        <f>Employee_Data[[#This Row],[Basic Salary]]*10%</f>
        <v>650.89166666666677</v>
      </c>
      <c r="O1103" s="4">
        <f>Employee_Data[[#This Row],[Basic Salary]]*7.5%</f>
        <v>488.16874999999999</v>
      </c>
      <c r="P1103" s="2">
        <f>Employee_Data[[#This Row],[Basic Salary]]*3%</f>
        <v>195.26750000000001</v>
      </c>
      <c r="Q1103" s="2">
        <f>SUM(Employee_Data[[#This Row],[Basic Salary]],Employee_Data[[#This Row],[HRA]],Employee_Data[[#This Row],[MA]],Employee_Data[[#This Row],[TA]])</f>
        <v>7843.2445833333331</v>
      </c>
      <c r="R1103" s="4">
        <f>Employee_Data[[#This Row],[Basic Salary]]*12.5%</f>
        <v>813.61458333333337</v>
      </c>
      <c r="S1103" s="2">
        <f>Employee_Data[[#This Row],[Annual Salary]]/12</f>
        <v>6508.916666666667</v>
      </c>
    </row>
    <row r="1104" spans="1:19" x14ac:dyDescent="0.3">
      <c r="A1104" t="s">
        <v>18</v>
      </c>
      <c r="B1104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>
        <v>47</v>
      </c>
      <c r="I1104" s="1">
        <v>44597</v>
      </c>
      <c r="J1104" s="2">
        <v>92368</v>
      </c>
      <c r="K1104" s="3">
        <v>0</v>
      </c>
      <c r="N1104" s="2">
        <f>Employee_Data[[#This Row],[Basic Salary]]*10%</f>
        <v>769.73333333333335</v>
      </c>
      <c r="O1104" s="4">
        <f>Employee_Data[[#This Row],[Basic Salary]]*7.5%</f>
        <v>577.29999999999995</v>
      </c>
      <c r="P1104" s="2">
        <f>Employee_Data[[#This Row],[Basic Salary]]*3%</f>
        <v>230.92</v>
      </c>
      <c r="Q1104" s="2">
        <f>SUM(Employee_Data[[#This Row],[Basic Salary]],Employee_Data[[#This Row],[HRA]],Employee_Data[[#This Row],[MA]],Employee_Data[[#This Row],[TA]])</f>
        <v>9275.286666666665</v>
      </c>
      <c r="R1104" s="4">
        <f>Employee_Data[[#This Row],[Basic Salary]]*12.5%</f>
        <v>962.16666666666663</v>
      </c>
      <c r="S1104" s="2">
        <f>Employee_Data[[#This Row],[Annual Salary]]/12</f>
        <v>7697.333333333333</v>
      </c>
    </row>
    <row r="1105" spans="1:19" x14ac:dyDescent="0.3">
      <c r="A1105" t="s">
        <v>27</v>
      </c>
      <c r="B1105" t="s">
        <v>28</v>
      </c>
      <c r="C1105" t="s">
        <v>29</v>
      </c>
      <c r="D1105" t="s">
        <v>30</v>
      </c>
      <c r="E1105" t="s">
        <v>31</v>
      </c>
      <c r="F1105" t="s">
        <v>23</v>
      </c>
      <c r="G1105" t="s">
        <v>24</v>
      </c>
      <c r="H1105">
        <v>58</v>
      </c>
      <c r="I1105" s="1">
        <v>41570</v>
      </c>
      <c r="J1105" s="2">
        <v>45703</v>
      </c>
      <c r="K1105" s="3">
        <v>0</v>
      </c>
      <c r="N1105" s="2">
        <f>Employee_Data[[#This Row],[Basic Salary]]*10%</f>
        <v>380.85833333333335</v>
      </c>
      <c r="O1105" s="4">
        <f>Employee_Data[[#This Row],[Basic Salary]]*7.5%</f>
        <v>285.64375000000001</v>
      </c>
      <c r="P1105" s="2">
        <f>Employee_Data[[#This Row],[Basic Salary]]*3%</f>
        <v>114.25750000000001</v>
      </c>
      <c r="Q1105" s="2">
        <f>SUM(Employee_Data[[#This Row],[Basic Salary]],Employee_Data[[#This Row],[HRA]],Employee_Data[[#This Row],[MA]],Employee_Data[[#This Row],[TA]])</f>
        <v>4589.3429166666665</v>
      </c>
      <c r="R1105" s="4">
        <f>Employee_Data[[#This Row],[Basic Salary]]*12.5%</f>
        <v>476.07291666666669</v>
      </c>
      <c r="S1105" s="2">
        <f>Employee_Data[[#This Row],[Annual Salary]]/12</f>
        <v>3808.5833333333335</v>
      </c>
    </row>
    <row r="1106" spans="1:19" x14ac:dyDescent="0.3">
      <c r="A1106" t="s">
        <v>33</v>
      </c>
      <c r="B1106" t="s">
        <v>34</v>
      </c>
      <c r="C1106" t="s">
        <v>35</v>
      </c>
      <c r="D1106" t="s">
        <v>4</v>
      </c>
      <c r="E1106" t="s">
        <v>36</v>
      </c>
      <c r="F1106" t="s">
        <v>23</v>
      </c>
      <c r="G1106" t="s">
        <v>24</v>
      </c>
      <c r="H1106">
        <v>34</v>
      </c>
      <c r="I1106" s="1">
        <v>43548</v>
      </c>
      <c r="J1106" s="2">
        <v>83576</v>
      </c>
      <c r="K1106" s="3">
        <v>0</v>
      </c>
      <c r="N1106" s="2">
        <f>Employee_Data[[#This Row],[Basic Salary]]*10%</f>
        <v>696.4666666666667</v>
      </c>
      <c r="O1106" s="4">
        <f>Employee_Data[[#This Row],[Basic Salary]]*7.5%</f>
        <v>522.35</v>
      </c>
      <c r="P1106" s="2">
        <f>Employee_Data[[#This Row],[Basic Salary]]*3%</f>
        <v>208.94</v>
      </c>
      <c r="Q1106" s="2">
        <f>SUM(Employee_Data[[#This Row],[Basic Salary]],Employee_Data[[#This Row],[HRA]],Employee_Data[[#This Row],[MA]],Employee_Data[[#This Row],[TA]])</f>
        <v>8392.4233333333341</v>
      </c>
      <c r="R1106" s="4">
        <f>Employee_Data[[#This Row],[Basic Salary]]*12.5%</f>
        <v>870.58333333333337</v>
      </c>
      <c r="S1106" s="2">
        <f>Employee_Data[[#This Row],[Annual Salary]]/12</f>
        <v>6964.666666666667</v>
      </c>
    </row>
    <row r="1107" spans="1:19" x14ac:dyDescent="0.3">
      <c r="A1107" t="s">
        <v>39</v>
      </c>
      <c r="B1107" t="s">
        <v>40</v>
      </c>
      <c r="C1107" t="s">
        <v>41</v>
      </c>
      <c r="D1107" t="s">
        <v>4</v>
      </c>
      <c r="E1107" t="s">
        <v>31</v>
      </c>
      <c r="F1107" t="s">
        <v>42</v>
      </c>
      <c r="G1107" t="s">
        <v>43</v>
      </c>
      <c r="H1107">
        <v>39</v>
      </c>
      <c r="I1107" s="1">
        <v>43197</v>
      </c>
      <c r="J1107" s="2">
        <v>98062</v>
      </c>
      <c r="K1107" s="3">
        <v>0</v>
      </c>
      <c r="N1107" s="2">
        <f>Employee_Data[[#This Row],[Basic Salary]]*10%</f>
        <v>817.18333333333339</v>
      </c>
      <c r="O1107" s="4">
        <f>Employee_Data[[#This Row],[Basic Salary]]*7.5%</f>
        <v>612.88749999999993</v>
      </c>
      <c r="P1107" s="2">
        <f>Employee_Data[[#This Row],[Basic Salary]]*3%</f>
        <v>245.15499999999997</v>
      </c>
      <c r="Q1107" s="2">
        <f>SUM(Employee_Data[[#This Row],[Basic Salary]],Employee_Data[[#This Row],[HRA]],Employee_Data[[#This Row],[MA]],Employee_Data[[#This Row],[TA]])</f>
        <v>9847.0591666666678</v>
      </c>
      <c r="R1107" s="4">
        <f>Employee_Data[[#This Row],[Basic Salary]]*12.5%</f>
        <v>1021.4791666666666</v>
      </c>
      <c r="S1107" s="2">
        <f>Employee_Data[[#This Row],[Annual Salary]]/12</f>
        <v>8171.833333333333</v>
      </c>
    </row>
    <row r="1108" spans="1:19" x14ac:dyDescent="0.3">
      <c r="A1108" t="s">
        <v>45</v>
      </c>
      <c r="B1108" t="s">
        <v>46</v>
      </c>
      <c r="C1108" t="s">
        <v>47</v>
      </c>
      <c r="D1108" t="s">
        <v>21</v>
      </c>
      <c r="E1108" t="s">
        <v>31</v>
      </c>
      <c r="F1108" t="s">
        <v>42</v>
      </c>
      <c r="G1108" t="s">
        <v>43</v>
      </c>
      <c r="H1108">
        <v>42</v>
      </c>
      <c r="I1108" s="1">
        <v>38521</v>
      </c>
      <c r="J1108" s="2">
        <v>175391</v>
      </c>
      <c r="K1108" s="3">
        <v>0.24</v>
      </c>
      <c r="N1108" s="2">
        <f>Employee_Data[[#This Row],[Basic Salary]]*10%</f>
        <v>1461.5916666666667</v>
      </c>
      <c r="O1108" s="4">
        <f>Employee_Data[[#This Row],[Basic Salary]]*7.5%</f>
        <v>1096.1937499999999</v>
      </c>
      <c r="P1108" s="2">
        <f>Employee_Data[[#This Row],[Basic Salary]]*3%</f>
        <v>438.47749999999996</v>
      </c>
      <c r="Q1108" s="2">
        <f>SUM(Employee_Data[[#This Row],[Basic Salary]],Employee_Data[[#This Row],[HRA]],Employee_Data[[#This Row],[MA]],Employee_Data[[#This Row],[TA]])</f>
        <v>17612.179583333334</v>
      </c>
      <c r="R1108" s="4">
        <f>Employee_Data[[#This Row],[Basic Salary]]*12.5%</f>
        <v>1826.9895833333333</v>
      </c>
      <c r="S1108" s="2">
        <f>Employee_Data[[#This Row],[Annual Salary]]/12</f>
        <v>14615.916666666666</v>
      </c>
    </row>
    <row r="1109" spans="1:19" x14ac:dyDescent="0.3">
      <c r="A1109" t="s">
        <v>49</v>
      </c>
      <c r="B1109" t="s">
        <v>50</v>
      </c>
      <c r="C1109" t="s">
        <v>35</v>
      </c>
      <c r="D1109" t="s">
        <v>4</v>
      </c>
      <c r="E1109" t="s">
        <v>22</v>
      </c>
      <c r="F1109" t="s">
        <v>23</v>
      </c>
      <c r="G1109" t="s">
        <v>24</v>
      </c>
      <c r="H1109">
        <v>62</v>
      </c>
      <c r="I1109" s="1">
        <v>38099</v>
      </c>
      <c r="J1109" s="2">
        <v>66227</v>
      </c>
      <c r="K1109" s="3">
        <v>0</v>
      </c>
      <c r="N1109" s="2">
        <f>Employee_Data[[#This Row],[Basic Salary]]*10%</f>
        <v>551.89166666666677</v>
      </c>
      <c r="O1109" s="4">
        <f>Employee_Data[[#This Row],[Basic Salary]]*7.5%</f>
        <v>413.91874999999999</v>
      </c>
      <c r="P1109" s="2">
        <f>Employee_Data[[#This Row],[Basic Salary]]*3%</f>
        <v>165.5675</v>
      </c>
      <c r="Q1109" s="2">
        <f>SUM(Employee_Data[[#This Row],[Basic Salary]],Employee_Data[[#This Row],[HRA]],Employee_Data[[#This Row],[MA]],Employee_Data[[#This Row],[TA]])</f>
        <v>6650.2945833333333</v>
      </c>
      <c r="R1109" s="4">
        <f>Employee_Data[[#This Row],[Basic Salary]]*12.5%</f>
        <v>689.86458333333337</v>
      </c>
      <c r="S1109" s="2">
        <f>Employee_Data[[#This Row],[Annual Salary]]/12</f>
        <v>5518.916666666667</v>
      </c>
    </row>
    <row r="1110" spans="1:19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56</v>
      </c>
      <c r="F1110" t="s">
        <v>42</v>
      </c>
      <c r="G1110" t="s">
        <v>24</v>
      </c>
      <c r="H1110">
        <v>58</v>
      </c>
      <c r="I1110" s="1">
        <v>39991</v>
      </c>
      <c r="J1110" s="2">
        <v>89744</v>
      </c>
      <c r="K1110" s="3">
        <v>0</v>
      </c>
      <c r="N1110" s="2">
        <f>Employee_Data[[#This Row],[Basic Salary]]*10%</f>
        <v>747.86666666666679</v>
      </c>
      <c r="O1110" s="4">
        <f>Employee_Data[[#This Row],[Basic Salary]]*7.5%</f>
        <v>560.9</v>
      </c>
      <c r="P1110" s="2">
        <f>Employee_Data[[#This Row],[Basic Salary]]*3%</f>
        <v>224.36</v>
      </c>
      <c r="Q1110" s="2">
        <f>SUM(Employee_Data[[#This Row],[Basic Salary]],Employee_Data[[#This Row],[HRA]],Employee_Data[[#This Row],[MA]],Employee_Data[[#This Row],[TA]])</f>
        <v>9011.7933333333331</v>
      </c>
      <c r="R1110" s="4">
        <f>Employee_Data[[#This Row],[Basic Salary]]*12.5%</f>
        <v>934.83333333333337</v>
      </c>
      <c r="S1110" s="2">
        <f>Employee_Data[[#This Row],[Annual Salary]]/12</f>
        <v>7478.666666666667</v>
      </c>
    </row>
    <row r="1111" spans="1:19" x14ac:dyDescent="0.3">
      <c r="A1111" t="s">
        <v>58</v>
      </c>
      <c r="B1111" t="s">
        <v>59</v>
      </c>
      <c r="C1111" t="s">
        <v>60</v>
      </c>
      <c r="D1111" t="s">
        <v>61</v>
      </c>
      <c r="E1111" t="s">
        <v>31</v>
      </c>
      <c r="F1111" t="s">
        <v>23</v>
      </c>
      <c r="G1111" t="s">
        <v>24</v>
      </c>
      <c r="H1111">
        <v>62</v>
      </c>
      <c r="I1111" s="1">
        <v>36210</v>
      </c>
      <c r="J1111" s="2">
        <v>69674</v>
      </c>
      <c r="K1111" s="3">
        <v>0</v>
      </c>
      <c r="N1111" s="2">
        <f>Employee_Data[[#This Row],[Basic Salary]]*10%</f>
        <v>580.61666666666667</v>
      </c>
      <c r="O1111" s="4">
        <f>Employee_Data[[#This Row],[Basic Salary]]*7.5%</f>
        <v>435.46250000000003</v>
      </c>
      <c r="P1111" s="2">
        <f>Employee_Data[[#This Row],[Basic Salary]]*3%</f>
        <v>174.185</v>
      </c>
      <c r="Q1111" s="2">
        <f>SUM(Employee_Data[[#This Row],[Basic Salary]],Employee_Data[[#This Row],[HRA]],Employee_Data[[#This Row],[MA]],Employee_Data[[#This Row],[TA]])</f>
        <v>6996.4308333333338</v>
      </c>
      <c r="R1111" s="4">
        <f>Employee_Data[[#This Row],[Basic Salary]]*12.5%</f>
        <v>725.77083333333337</v>
      </c>
      <c r="S1111" s="2">
        <f>Employee_Data[[#This Row],[Annual Salary]]/12</f>
        <v>5806.166666666667</v>
      </c>
    </row>
    <row r="1112" spans="1:19" x14ac:dyDescent="0.3">
      <c r="A1112" t="s">
        <v>63</v>
      </c>
      <c r="B1112" t="s">
        <v>64</v>
      </c>
      <c r="C1112" t="s">
        <v>65</v>
      </c>
      <c r="D1112" t="s">
        <v>4</v>
      </c>
      <c r="E1112" t="s">
        <v>22</v>
      </c>
      <c r="F1112" t="s">
        <v>42</v>
      </c>
      <c r="G1112" t="s">
        <v>66</v>
      </c>
      <c r="H1112">
        <v>38</v>
      </c>
      <c r="I1112" s="1">
        <v>40795</v>
      </c>
      <c r="J1112" s="2">
        <v>97630</v>
      </c>
      <c r="K1112" s="3">
        <v>0</v>
      </c>
      <c r="N1112" s="2">
        <f>Employee_Data[[#This Row],[Basic Salary]]*10%</f>
        <v>813.58333333333337</v>
      </c>
      <c r="O1112" s="4">
        <f>Employee_Data[[#This Row],[Basic Salary]]*7.5%</f>
        <v>610.1875</v>
      </c>
      <c r="P1112" s="2">
        <f>Employee_Data[[#This Row],[Basic Salary]]*3%</f>
        <v>244.07499999999999</v>
      </c>
      <c r="Q1112" s="2">
        <f>SUM(Employee_Data[[#This Row],[Basic Salary]],Employee_Data[[#This Row],[HRA]],Employee_Data[[#This Row],[MA]],Employee_Data[[#This Row],[TA]])</f>
        <v>9803.6791666666668</v>
      </c>
      <c r="R1112" s="4">
        <f>Employee_Data[[#This Row],[Basic Salary]]*12.5%</f>
        <v>1016.9791666666666</v>
      </c>
      <c r="S1112" s="2">
        <f>Employee_Data[[#This Row],[Annual Salary]]/12</f>
        <v>8135.833333333333</v>
      </c>
    </row>
    <row r="1113" spans="1:19" x14ac:dyDescent="0.3">
      <c r="A1113" t="s">
        <v>67</v>
      </c>
      <c r="B1113" t="s">
        <v>68</v>
      </c>
      <c r="C1113" t="s">
        <v>69</v>
      </c>
      <c r="D1113" t="s">
        <v>61</v>
      </c>
      <c r="E1113" t="s">
        <v>56</v>
      </c>
      <c r="F1113" t="s">
        <v>23</v>
      </c>
      <c r="G1113" t="s">
        <v>66</v>
      </c>
      <c r="H1113">
        <v>52</v>
      </c>
      <c r="I1113" s="1">
        <v>42040</v>
      </c>
      <c r="J1113" s="2">
        <v>105879</v>
      </c>
      <c r="K1113" s="3">
        <v>0.1</v>
      </c>
      <c r="N1113" s="2">
        <f>Employee_Data[[#This Row],[Basic Salary]]*10%</f>
        <v>882.32500000000005</v>
      </c>
      <c r="O1113" s="4">
        <f>Employee_Data[[#This Row],[Basic Salary]]*7.5%</f>
        <v>661.74374999999998</v>
      </c>
      <c r="P1113" s="2">
        <f>Employee_Data[[#This Row],[Basic Salary]]*3%</f>
        <v>264.69749999999999</v>
      </c>
      <c r="Q1113" s="2">
        <f>SUM(Employee_Data[[#This Row],[Basic Salary]],Employee_Data[[#This Row],[HRA]],Employee_Data[[#This Row],[MA]],Employee_Data[[#This Row],[TA]])</f>
        <v>10632.016250000001</v>
      </c>
      <c r="R1113" s="4">
        <f>Employee_Data[[#This Row],[Basic Salary]]*12.5%</f>
        <v>1102.90625</v>
      </c>
      <c r="S1113" s="2">
        <f>Employee_Data[[#This Row],[Annual Salary]]/12</f>
        <v>8823.25</v>
      </c>
    </row>
    <row r="1114" spans="1:19" x14ac:dyDescent="0.3">
      <c r="A1114" t="s">
        <v>71</v>
      </c>
      <c r="B1114" t="s">
        <v>72</v>
      </c>
      <c r="C1114" t="s">
        <v>73</v>
      </c>
      <c r="D1114" t="s">
        <v>4</v>
      </c>
      <c r="E1114" t="s">
        <v>22</v>
      </c>
      <c r="F1114" t="s">
        <v>23</v>
      </c>
      <c r="G1114" t="s">
        <v>43</v>
      </c>
      <c r="H1114">
        <v>49</v>
      </c>
      <c r="I1114" s="1">
        <v>37906</v>
      </c>
      <c r="J1114" s="2">
        <v>40499</v>
      </c>
      <c r="K1114" s="3">
        <v>0</v>
      </c>
      <c r="N1114" s="2">
        <f>Employee_Data[[#This Row],[Basic Salary]]*10%</f>
        <v>337.49166666666667</v>
      </c>
      <c r="O1114" s="4">
        <f>Employee_Data[[#This Row],[Basic Salary]]*7.5%</f>
        <v>253.11874999999998</v>
      </c>
      <c r="P1114" s="2">
        <f>Employee_Data[[#This Row],[Basic Salary]]*3%</f>
        <v>101.24749999999999</v>
      </c>
      <c r="Q1114" s="2">
        <f>SUM(Employee_Data[[#This Row],[Basic Salary]],Employee_Data[[#This Row],[HRA]],Employee_Data[[#This Row],[MA]],Employee_Data[[#This Row],[TA]])</f>
        <v>4066.7745833333333</v>
      </c>
      <c r="R1114" s="4">
        <f>Employee_Data[[#This Row],[Basic Salary]]*12.5%</f>
        <v>421.86458333333331</v>
      </c>
      <c r="S1114" s="2">
        <f>Employee_Data[[#This Row],[Annual Salary]]/12</f>
        <v>3374.9166666666665</v>
      </c>
    </row>
    <row r="1115" spans="1:19" x14ac:dyDescent="0.3">
      <c r="A1115" t="s">
        <v>74</v>
      </c>
      <c r="B1115" t="s">
        <v>75</v>
      </c>
      <c r="C1115" t="s">
        <v>54</v>
      </c>
      <c r="D1115" t="s">
        <v>61</v>
      </c>
      <c r="E1115" t="s">
        <v>56</v>
      </c>
      <c r="F1115" t="s">
        <v>42</v>
      </c>
      <c r="G1115" t="s">
        <v>24</v>
      </c>
      <c r="H1115">
        <v>63</v>
      </c>
      <c r="I1115" s="1">
        <v>41854</v>
      </c>
      <c r="J1115" s="2">
        <v>71418</v>
      </c>
      <c r="K1115" s="3">
        <v>0</v>
      </c>
      <c r="N1115" s="2">
        <f>Employee_Data[[#This Row],[Basic Salary]]*10%</f>
        <v>595.15</v>
      </c>
      <c r="O1115" s="4">
        <f>Employee_Data[[#This Row],[Basic Salary]]*7.5%</f>
        <v>446.36250000000001</v>
      </c>
      <c r="P1115" s="2">
        <f>Employee_Data[[#This Row],[Basic Salary]]*3%</f>
        <v>178.54499999999999</v>
      </c>
      <c r="Q1115" s="2">
        <f>SUM(Employee_Data[[#This Row],[Basic Salary]],Employee_Data[[#This Row],[HRA]],Employee_Data[[#This Row],[MA]],Employee_Data[[#This Row],[TA]])</f>
        <v>7171.5574999999999</v>
      </c>
      <c r="R1115" s="4">
        <f>Employee_Data[[#This Row],[Basic Salary]]*12.5%</f>
        <v>743.9375</v>
      </c>
      <c r="S1115" s="2">
        <f>Employee_Data[[#This Row],[Annual Salary]]/12</f>
        <v>5951.5</v>
      </c>
    </row>
    <row r="1116" spans="1:19" x14ac:dyDescent="0.3">
      <c r="A1116" t="s">
        <v>76</v>
      </c>
      <c r="B1116" t="s">
        <v>77</v>
      </c>
      <c r="C1116" t="s">
        <v>47</v>
      </c>
      <c r="D1116" t="s">
        <v>4</v>
      </c>
      <c r="E1116" t="s">
        <v>22</v>
      </c>
      <c r="F1116" t="s">
        <v>23</v>
      </c>
      <c r="G1116" t="s">
        <v>24</v>
      </c>
      <c r="H1116">
        <v>45</v>
      </c>
      <c r="I1116" s="1">
        <v>43054</v>
      </c>
      <c r="J1116" s="2">
        <v>150558</v>
      </c>
      <c r="K1116" s="3">
        <v>0.23</v>
      </c>
      <c r="N1116" s="2">
        <f>Employee_Data[[#This Row],[Basic Salary]]*10%</f>
        <v>1254.6500000000001</v>
      </c>
      <c r="O1116" s="4">
        <f>Employee_Data[[#This Row],[Basic Salary]]*7.5%</f>
        <v>940.98749999999995</v>
      </c>
      <c r="P1116" s="2">
        <f>Employee_Data[[#This Row],[Basic Salary]]*3%</f>
        <v>376.39499999999998</v>
      </c>
      <c r="Q1116" s="2">
        <f>SUM(Employee_Data[[#This Row],[Basic Salary]],Employee_Data[[#This Row],[HRA]],Employee_Data[[#This Row],[MA]],Employee_Data[[#This Row],[TA]])</f>
        <v>15118.532499999999</v>
      </c>
      <c r="R1116" s="4">
        <f>Employee_Data[[#This Row],[Basic Salary]]*12.5%</f>
        <v>1568.3125</v>
      </c>
      <c r="S1116" s="2">
        <f>Employee_Data[[#This Row],[Annual Salary]]/12</f>
        <v>12546.5</v>
      </c>
    </row>
    <row r="1117" spans="1:19" x14ac:dyDescent="0.3">
      <c r="A1117" t="s">
        <v>78</v>
      </c>
      <c r="B1117" t="s">
        <v>79</v>
      </c>
      <c r="C1117" t="s">
        <v>69</v>
      </c>
      <c r="D1117" t="s">
        <v>80</v>
      </c>
      <c r="E1117" t="s">
        <v>31</v>
      </c>
      <c r="F1117" t="s">
        <v>23</v>
      </c>
      <c r="G1117" t="s">
        <v>66</v>
      </c>
      <c r="H1117">
        <v>36</v>
      </c>
      <c r="I1117" s="1">
        <v>43303</v>
      </c>
      <c r="J1117" s="2">
        <v>118912</v>
      </c>
      <c r="K1117" s="3">
        <v>0.08</v>
      </c>
      <c r="N1117" s="2">
        <f>Employee_Data[[#This Row],[Basic Salary]]*10%</f>
        <v>990.93333333333339</v>
      </c>
      <c r="O1117" s="4">
        <f>Employee_Data[[#This Row],[Basic Salary]]*7.5%</f>
        <v>743.2</v>
      </c>
      <c r="P1117" s="2">
        <f>Employee_Data[[#This Row],[Basic Salary]]*3%</f>
        <v>297.28000000000003</v>
      </c>
      <c r="Q1117" s="2">
        <f>SUM(Employee_Data[[#This Row],[Basic Salary]],Employee_Data[[#This Row],[HRA]],Employee_Data[[#This Row],[MA]],Employee_Data[[#This Row],[TA]])</f>
        <v>11940.746666666668</v>
      </c>
      <c r="R1117" s="4">
        <f>Employee_Data[[#This Row],[Basic Salary]]*12.5%</f>
        <v>1238.6666666666667</v>
      </c>
      <c r="S1117" s="2">
        <f>Employee_Data[[#This Row],[Annual Salary]]/12</f>
        <v>9909.3333333333339</v>
      </c>
    </row>
    <row r="1118" spans="1:19" x14ac:dyDescent="0.3">
      <c r="A1118" t="s">
        <v>81</v>
      </c>
      <c r="B1118" t="s">
        <v>82</v>
      </c>
      <c r="C1118" t="s">
        <v>83</v>
      </c>
      <c r="D1118" t="s">
        <v>80</v>
      </c>
      <c r="E1118" t="s">
        <v>31</v>
      </c>
      <c r="F1118" t="s">
        <v>23</v>
      </c>
      <c r="G1118" t="s">
        <v>84</v>
      </c>
      <c r="H1118">
        <v>42</v>
      </c>
      <c r="I1118" s="1">
        <v>44279</v>
      </c>
      <c r="J1118" s="2">
        <v>131422</v>
      </c>
      <c r="K1118" s="3">
        <v>0.15</v>
      </c>
      <c r="N1118" s="2">
        <f>Employee_Data[[#This Row],[Basic Salary]]*10%</f>
        <v>1095.1833333333334</v>
      </c>
      <c r="O1118" s="4">
        <f>Employee_Data[[#This Row],[Basic Salary]]*7.5%</f>
        <v>821.38750000000005</v>
      </c>
      <c r="P1118" s="2">
        <f>Employee_Data[[#This Row],[Basic Salary]]*3%</f>
        <v>328.55500000000001</v>
      </c>
      <c r="Q1118" s="2">
        <f>SUM(Employee_Data[[#This Row],[Basic Salary]],Employee_Data[[#This Row],[HRA]],Employee_Data[[#This Row],[MA]],Employee_Data[[#This Row],[TA]])</f>
        <v>13196.959166666667</v>
      </c>
      <c r="R1118" s="4">
        <f>Employee_Data[[#This Row],[Basic Salary]]*12.5%</f>
        <v>1368.9791666666667</v>
      </c>
      <c r="S1118" s="2">
        <f>Employee_Data[[#This Row],[Annual Salary]]/12</f>
        <v>10951.833333333334</v>
      </c>
    </row>
    <row r="1119" spans="1:19" x14ac:dyDescent="0.3">
      <c r="A1119" t="s">
        <v>85</v>
      </c>
      <c r="B1119" t="s">
        <v>86</v>
      </c>
      <c r="C1119" t="s">
        <v>41</v>
      </c>
      <c r="D1119" t="s">
        <v>4</v>
      </c>
      <c r="E1119" t="s">
        <v>31</v>
      </c>
      <c r="F1119" t="s">
        <v>42</v>
      </c>
      <c r="G1119" t="s">
        <v>24</v>
      </c>
      <c r="H1119">
        <v>62</v>
      </c>
      <c r="I1119" s="1">
        <v>35637</v>
      </c>
      <c r="J1119" s="2">
        <v>64208</v>
      </c>
      <c r="K1119" s="3">
        <v>0</v>
      </c>
      <c r="N1119" s="2">
        <f>Employee_Data[[#This Row],[Basic Salary]]*10%</f>
        <v>535.06666666666672</v>
      </c>
      <c r="O1119" s="4">
        <f>Employee_Data[[#This Row],[Basic Salary]]*7.5%</f>
        <v>401.3</v>
      </c>
      <c r="P1119" s="2">
        <f>Employee_Data[[#This Row],[Basic Salary]]*3%</f>
        <v>160.52000000000001</v>
      </c>
      <c r="Q1119" s="2">
        <f>SUM(Employee_Data[[#This Row],[Basic Salary]],Employee_Data[[#This Row],[HRA]],Employee_Data[[#This Row],[MA]],Employee_Data[[#This Row],[TA]])</f>
        <v>6447.5533333333342</v>
      </c>
      <c r="R1119" s="4">
        <f>Employee_Data[[#This Row],[Basic Salary]]*12.5%</f>
        <v>668.83333333333337</v>
      </c>
      <c r="S1119" s="2">
        <f>Employee_Data[[#This Row],[Annual Salary]]/12</f>
        <v>5350.666666666667</v>
      </c>
    </row>
    <row r="1120" spans="1:19" x14ac:dyDescent="0.3">
      <c r="A1120" t="s">
        <v>87</v>
      </c>
      <c r="B1120" t="s">
        <v>88</v>
      </c>
      <c r="C1120" t="s">
        <v>89</v>
      </c>
      <c r="D1120" t="s">
        <v>21</v>
      </c>
      <c r="E1120" t="s">
        <v>56</v>
      </c>
      <c r="F1120" t="s">
        <v>42</v>
      </c>
      <c r="G1120" t="s">
        <v>24</v>
      </c>
      <c r="H1120">
        <v>45</v>
      </c>
      <c r="I1120" s="1">
        <v>40395</v>
      </c>
      <c r="J1120" s="2">
        <v>254486</v>
      </c>
      <c r="K1120" s="3">
        <v>0.33</v>
      </c>
      <c r="N1120" s="2">
        <f>Employee_Data[[#This Row],[Basic Salary]]*10%</f>
        <v>2120.7166666666667</v>
      </c>
      <c r="O1120" s="4">
        <f>Employee_Data[[#This Row],[Basic Salary]]*7.5%</f>
        <v>1590.5375000000001</v>
      </c>
      <c r="P1120" s="2">
        <f>Employee_Data[[#This Row],[Basic Salary]]*3%</f>
        <v>636.21500000000003</v>
      </c>
      <c r="Q1120" s="2">
        <f>SUM(Employee_Data[[#This Row],[Basic Salary]],Employee_Data[[#This Row],[HRA]],Employee_Data[[#This Row],[MA]],Employee_Data[[#This Row],[TA]])</f>
        <v>25554.635833333334</v>
      </c>
      <c r="R1120" s="4">
        <f>Employee_Data[[#This Row],[Basic Salary]]*12.5%</f>
        <v>2650.8958333333335</v>
      </c>
      <c r="S1120" s="2">
        <f>Employee_Data[[#This Row],[Annual Salary]]/12</f>
        <v>21207.166666666668</v>
      </c>
    </row>
    <row r="1121" spans="1:19" x14ac:dyDescent="0.3">
      <c r="A1121" t="s">
        <v>90</v>
      </c>
      <c r="B1121" t="s">
        <v>91</v>
      </c>
      <c r="C1121" t="s">
        <v>29</v>
      </c>
      <c r="D1121" t="s">
        <v>30</v>
      </c>
      <c r="E1121" t="s">
        <v>56</v>
      </c>
      <c r="F1121" t="s">
        <v>42</v>
      </c>
      <c r="G1121" t="s">
        <v>24</v>
      </c>
      <c r="H1121">
        <v>61</v>
      </c>
      <c r="I1121" s="1">
        <v>43527</v>
      </c>
      <c r="J1121" s="2">
        <v>54811</v>
      </c>
      <c r="K1121" s="3">
        <v>0</v>
      </c>
      <c r="N1121" s="2">
        <f>Employee_Data[[#This Row],[Basic Salary]]*10%</f>
        <v>456.75833333333333</v>
      </c>
      <c r="O1121" s="4">
        <f>Employee_Data[[#This Row],[Basic Salary]]*7.5%</f>
        <v>342.56874999999997</v>
      </c>
      <c r="P1121" s="2">
        <f>Employee_Data[[#This Row],[Basic Salary]]*3%</f>
        <v>137.02749999999997</v>
      </c>
      <c r="Q1121" s="2">
        <f>SUM(Employee_Data[[#This Row],[Basic Salary]],Employee_Data[[#This Row],[HRA]],Employee_Data[[#This Row],[MA]],Employee_Data[[#This Row],[TA]])</f>
        <v>5503.9379166666668</v>
      </c>
      <c r="R1121" s="4">
        <f>Employee_Data[[#This Row],[Basic Salary]]*12.5%</f>
        <v>570.94791666666663</v>
      </c>
      <c r="S1121" s="2">
        <f>Employee_Data[[#This Row],[Annual Salary]]/12</f>
        <v>4567.583333333333</v>
      </c>
    </row>
    <row r="1122" spans="1:19" x14ac:dyDescent="0.3">
      <c r="A1122" t="s">
        <v>92</v>
      </c>
      <c r="B1122" t="s">
        <v>93</v>
      </c>
      <c r="C1122" t="s">
        <v>94</v>
      </c>
      <c r="D1122" t="s">
        <v>4</v>
      </c>
      <c r="E1122" t="s">
        <v>56</v>
      </c>
      <c r="F1122" t="s">
        <v>23</v>
      </c>
      <c r="G1122" t="s">
        <v>24</v>
      </c>
      <c r="H1122">
        <v>29</v>
      </c>
      <c r="I1122" s="1">
        <v>43050</v>
      </c>
      <c r="J1122" s="2">
        <v>95729</v>
      </c>
      <c r="K1122" s="3">
        <v>0</v>
      </c>
      <c r="N1122" s="2">
        <f>Employee_Data[[#This Row],[Basic Salary]]*10%</f>
        <v>797.74166666666679</v>
      </c>
      <c r="O1122" s="4">
        <f>Employee_Data[[#This Row],[Basic Salary]]*7.5%</f>
        <v>598.30624999999998</v>
      </c>
      <c r="P1122" s="2">
        <f>Employee_Data[[#This Row],[Basic Salary]]*3%</f>
        <v>239.32249999999999</v>
      </c>
      <c r="Q1122" s="2">
        <f>SUM(Employee_Data[[#This Row],[Basic Salary]],Employee_Data[[#This Row],[HRA]],Employee_Data[[#This Row],[MA]],Employee_Data[[#This Row],[TA]])</f>
        <v>9612.7870833333327</v>
      </c>
      <c r="R1122" s="4">
        <f>Employee_Data[[#This Row],[Basic Salary]]*12.5%</f>
        <v>997.17708333333337</v>
      </c>
      <c r="S1122" s="2">
        <f>Employee_Data[[#This Row],[Annual Salary]]/12</f>
        <v>7977.416666666667</v>
      </c>
    </row>
    <row r="1123" spans="1:19" x14ac:dyDescent="0.3">
      <c r="A1123" t="s">
        <v>95</v>
      </c>
      <c r="B1123" t="s">
        <v>96</v>
      </c>
      <c r="C1123" t="s">
        <v>69</v>
      </c>
      <c r="D1123" t="s">
        <v>55</v>
      </c>
      <c r="E1123" t="s">
        <v>56</v>
      </c>
      <c r="F1123" t="s">
        <v>42</v>
      </c>
      <c r="G1123" t="s">
        <v>43</v>
      </c>
      <c r="H1123">
        <v>63</v>
      </c>
      <c r="I1123" s="1">
        <v>39852</v>
      </c>
      <c r="J1123" s="2">
        <v>102649</v>
      </c>
      <c r="K1123" s="3">
        <v>0.06</v>
      </c>
      <c r="N1123" s="2">
        <f>Employee_Data[[#This Row],[Basic Salary]]*10%</f>
        <v>855.40833333333342</v>
      </c>
      <c r="O1123" s="4">
        <f>Employee_Data[[#This Row],[Basic Salary]]*7.5%</f>
        <v>641.55624999999998</v>
      </c>
      <c r="P1123" s="2">
        <f>Employee_Data[[#This Row],[Basic Salary]]*3%</f>
        <v>256.6225</v>
      </c>
      <c r="Q1123" s="2">
        <f>SUM(Employee_Data[[#This Row],[Basic Salary]],Employee_Data[[#This Row],[HRA]],Employee_Data[[#This Row],[MA]],Employee_Data[[#This Row],[TA]])</f>
        <v>10307.670416666666</v>
      </c>
      <c r="R1123" s="4">
        <f>Employee_Data[[#This Row],[Basic Salary]]*12.5%</f>
        <v>1069.2604166666667</v>
      </c>
      <c r="S1123" s="2">
        <f>Employee_Data[[#This Row],[Annual Salary]]/12</f>
        <v>8554.0833333333339</v>
      </c>
    </row>
    <row r="1124" spans="1:19" x14ac:dyDescent="0.3">
      <c r="A1124" t="s">
        <v>97</v>
      </c>
      <c r="B1124" t="s">
        <v>98</v>
      </c>
      <c r="C1124" t="s">
        <v>83</v>
      </c>
      <c r="D1124" t="s">
        <v>55</v>
      </c>
      <c r="E1124" t="s">
        <v>56</v>
      </c>
      <c r="F1124" t="s">
        <v>23</v>
      </c>
      <c r="G1124" t="s">
        <v>24</v>
      </c>
      <c r="H1124">
        <v>45</v>
      </c>
      <c r="I1124" s="1">
        <v>42324</v>
      </c>
      <c r="J1124" s="2">
        <v>122875</v>
      </c>
      <c r="K1124" s="3">
        <v>0.12</v>
      </c>
      <c r="N1124" s="2">
        <f>Employee_Data[[#This Row],[Basic Salary]]*10%</f>
        <v>1023.9583333333335</v>
      </c>
      <c r="O1124" s="4">
        <f>Employee_Data[[#This Row],[Basic Salary]]*7.5%</f>
        <v>767.96875</v>
      </c>
      <c r="P1124" s="2">
        <f>Employee_Data[[#This Row],[Basic Salary]]*3%</f>
        <v>307.1875</v>
      </c>
      <c r="Q1124" s="2">
        <f>SUM(Employee_Data[[#This Row],[Basic Salary]],Employee_Data[[#This Row],[HRA]],Employee_Data[[#This Row],[MA]],Employee_Data[[#This Row],[TA]])</f>
        <v>12338.697916666668</v>
      </c>
      <c r="R1124" s="4">
        <f>Employee_Data[[#This Row],[Basic Salary]]*12.5%</f>
        <v>1279.9479166666667</v>
      </c>
      <c r="S1124" s="2">
        <f>Employee_Data[[#This Row],[Annual Salary]]/12</f>
        <v>10239.583333333334</v>
      </c>
    </row>
    <row r="1125" spans="1:19" x14ac:dyDescent="0.3">
      <c r="A1125" t="s">
        <v>99</v>
      </c>
      <c r="B1125" t="s">
        <v>100</v>
      </c>
      <c r="C1125" t="s">
        <v>101</v>
      </c>
      <c r="D1125" t="s">
        <v>4</v>
      </c>
      <c r="E1125" t="s">
        <v>36</v>
      </c>
      <c r="F1125" t="s">
        <v>42</v>
      </c>
      <c r="G1125" t="s">
        <v>84</v>
      </c>
      <c r="H1125">
        <v>43</v>
      </c>
      <c r="I1125" s="1">
        <v>41500</v>
      </c>
      <c r="J1125" s="2">
        <v>83323</v>
      </c>
      <c r="K1125" s="3">
        <v>0</v>
      </c>
      <c r="N1125" s="2">
        <f>Employee_Data[[#This Row],[Basic Salary]]*10%</f>
        <v>694.35833333333335</v>
      </c>
      <c r="O1125" s="4">
        <f>Employee_Data[[#This Row],[Basic Salary]]*7.5%</f>
        <v>520.76874999999995</v>
      </c>
      <c r="P1125" s="2">
        <f>Employee_Data[[#This Row],[Basic Salary]]*3%</f>
        <v>208.30749999999998</v>
      </c>
      <c r="Q1125" s="2">
        <f>SUM(Employee_Data[[#This Row],[Basic Salary]],Employee_Data[[#This Row],[HRA]],Employee_Data[[#This Row],[MA]],Employee_Data[[#This Row],[TA]])</f>
        <v>8367.0179166666676</v>
      </c>
      <c r="R1125" s="4">
        <f>Employee_Data[[#This Row],[Basic Salary]]*12.5%</f>
        <v>867.94791666666663</v>
      </c>
      <c r="S1125" s="2">
        <f>Employee_Data[[#This Row],[Annual Salary]]/12</f>
        <v>6943.583333333333</v>
      </c>
    </row>
    <row r="1126" spans="1:19" x14ac:dyDescent="0.3">
      <c r="A1126" t="s">
        <v>102</v>
      </c>
      <c r="B1126" t="s">
        <v>103</v>
      </c>
      <c r="C1126" t="s">
        <v>104</v>
      </c>
      <c r="D1126" t="s">
        <v>30</v>
      </c>
      <c r="E1126" t="s">
        <v>22</v>
      </c>
      <c r="F1126" t="s">
        <v>42</v>
      </c>
      <c r="G1126" t="s">
        <v>24</v>
      </c>
      <c r="H1126">
        <v>31</v>
      </c>
      <c r="I1126" s="1">
        <v>43394</v>
      </c>
      <c r="J1126" s="2">
        <v>66721</v>
      </c>
      <c r="K1126" s="3">
        <v>0</v>
      </c>
      <c r="N1126" s="2">
        <f>Employee_Data[[#This Row],[Basic Salary]]*10%</f>
        <v>556.00833333333333</v>
      </c>
      <c r="O1126" s="4">
        <f>Employee_Data[[#This Row],[Basic Salary]]*7.5%</f>
        <v>417.00624999999997</v>
      </c>
      <c r="P1126" s="2">
        <f>Employee_Data[[#This Row],[Basic Salary]]*3%</f>
        <v>166.80249999999998</v>
      </c>
      <c r="Q1126" s="2">
        <f>SUM(Employee_Data[[#This Row],[Basic Salary]],Employee_Data[[#This Row],[HRA]],Employee_Data[[#This Row],[MA]],Employee_Data[[#This Row],[TA]])</f>
        <v>6699.9004166666664</v>
      </c>
      <c r="R1126" s="4">
        <f>Employee_Data[[#This Row],[Basic Salary]]*12.5%</f>
        <v>695.01041666666663</v>
      </c>
      <c r="S1126" s="2">
        <f>Employee_Data[[#This Row],[Annual Salary]]/12</f>
        <v>5560.083333333333</v>
      </c>
    </row>
    <row r="1127" spans="1:19" x14ac:dyDescent="0.3">
      <c r="A1127" t="s">
        <v>105</v>
      </c>
      <c r="B1127" t="s">
        <v>106</v>
      </c>
      <c r="C1127" t="s">
        <v>89</v>
      </c>
      <c r="D1127" t="s">
        <v>55</v>
      </c>
      <c r="E1127" t="s">
        <v>56</v>
      </c>
      <c r="F1127" t="s">
        <v>23</v>
      </c>
      <c r="G1127" t="s">
        <v>24</v>
      </c>
      <c r="H1127">
        <v>48</v>
      </c>
      <c r="I1127" s="1">
        <v>39050</v>
      </c>
      <c r="J1127" s="2">
        <v>246400</v>
      </c>
      <c r="K1127" s="3">
        <v>0.36</v>
      </c>
      <c r="N1127" s="2">
        <f>Employee_Data[[#This Row],[Basic Salary]]*10%</f>
        <v>2053.3333333333335</v>
      </c>
      <c r="O1127" s="4">
        <f>Employee_Data[[#This Row],[Basic Salary]]*7.5%</f>
        <v>1539.9999999999998</v>
      </c>
      <c r="P1127" s="2">
        <f>Employee_Data[[#This Row],[Basic Salary]]*3%</f>
        <v>615.99999999999989</v>
      </c>
      <c r="Q1127" s="2">
        <f>SUM(Employee_Data[[#This Row],[Basic Salary]],Employee_Data[[#This Row],[HRA]],Employee_Data[[#This Row],[MA]],Employee_Data[[#This Row],[TA]])</f>
        <v>24742.666666666664</v>
      </c>
      <c r="R1127" s="4">
        <f>Employee_Data[[#This Row],[Basic Salary]]*12.5%</f>
        <v>2566.6666666666665</v>
      </c>
      <c r="S1127" s="2">
        <f>Employee_Data[[#This Row],[Annual Salary]]/12</f>
        <v>20533.333333333332</v>
      </c>
    </row>
    <row r="1128" spans="1:19" x14ac:dyDescent="0.3">
      <c r="A1128" t="s">
        <v>107</v>
      </c>
      <c r="B1128" t="s">
        <v>108</v>
      </c>
      <c r="C1128" t="s">
        <v>69</v>
      </c>
      <c r="D1128" t="s">
        <v>30</v>
      </c>
      <c r="E1128" t="s">
        <v>56</v>
      </c>
      <c r="F1128" t="s">
        <v>23</v>
      </c>
      <c r="G1128" t="s">
        <v>66</v>
      </c>
      <c r="H1128">
        <v>55</v>
      </c>
      <c r="I1128" s="1">
        <v>35730</v>
      </c>
      <c r="J1128" s="2">
        <v>113525</v>
      </c>
      <c r="K1128" s="3">
        <v>0.06</v>
      </c>
      <c r="N1128" s="2">
        <f>Employee_Data[[#This Row],[Basic Salary]]*10%</f>
        <v>946.04166666666663</v>
      </c>
      <c r="O1128" s="4">
        <f>Employee_Data[[#This Row],[Basic Salary]]*7.5%</f>
        <v>709.53124999999989</v>
      </c>
      <c r="P1128" s="2">
        <f>Employee_Data[[#This Row],[Basic Salary]]*3%</f>
        <v>283.81249999999994</v>
      </c>
      <c r="Q1128" s="2">
        <f>SUM(Employee_Data[[#This Row],[Basic Salary]],Employee_Data[[#This Row],[HRA]],Employee_Data[[#This Row],[MA]],Employee_Data[[#This Row],[TA]])</f>
        <v>11399.802083333332</v>
      </c>
      <c r="R1128" s="4">
        <f>Employee_Data[[#This Row],[Basic Salary]]*12.5%</f>
        <v>1182.5520833333333</v>
      </c>
      <c r="S1128" s="2">
        <f>Employee_Data[[#This Row],[Annual Salary]]/12</f>
        <v>9460.4166666666661</v>
      </c>
    </row>
    <row r="1231" spans="14:14" x14ac:dyDescent="0.3">
      <c r="N1231" s="1"/>
    </row>
    <row r="1245" spans="14:14" x14ac:dyDescent="0.3">
      <c r="N1245" s="1"/>
    </row>
    <row r="1253" spans="14:14" x14ac:dyDescent="0.3">
      <c r="N1253" s="1"/>
    </row>
    <row r="1262" spans="14:14" x14ac:dyDescent="0.3">
      <c r="N126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Dubey</dc:creator>
  <cp:lastModifiedBy>Sejal Dubey</cp:lastModifiedBy>
  <dcterms:created xsi:type="dcterms:W3CDTF">2026-10-17T16:32:41Z</dcterms:created>
  <dcterms:modified xsi:type="dcterms:W3CDTF">2026-10-17T17:03:21Z</dcterms:modified>
</cp:coreProperties>
</file>